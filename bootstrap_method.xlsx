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rop Blade → TAF" sheetId="2" state="visible" r:id="rId2"/>
    <sheet name="Flight Tests → CD0, e" sheetId="3" state="visible" r:id="rId3"/>
    <sheet name="Data Plate" sheetId="4" state="visible" r:id="rId4"/>
    <sheet name="Performance Calculator" sheetId="5" state="visible" r:id="rId5"/>
  </sheets>
  <definedNames/>
  <calcPr calcId="124519" fullCalcOnLoad="1"/>
</workbook>
</file>

<file path=xl/styles.xml><?xml version="1.0" encoding="utf-8"?>
<styleSheet xmlns="http://schemas.openxmlformats.org/spreadsheetml/2006/main">
  <numFmts count="7">
    <numFmt numFmtId="164" formatCode="0.00000"/>
    <numFmt numFmtId="165" formatCode="0.0000"/>
    <numFmt numFmtId="166" formatCode="0.000"/>
    <numFmt numFmtId="167" formatCode="0.0"/>
    <numFmt numFmtId="168" formatCode="0.000000"/>
    <numFmt numFmtId="169" formatCode="0.000000000"/>
    <numFmt numFmtId="170" formatCode="0.000000000000"/>
  </numFmts>
  <fonts count="8">
    <font>
      <name val="Calibri"/>
      <family val="2"/>
      <color theme="1"/>
      <sz val="11"/>
      <scheme val="minor"/>
    </font>
    <font>
      <b val="1"/>
      <color rgb="002F5496"/>
      <sz val="14"/>
    </font>
    <font>
      <b val="1"/>
      <color rgb="002F5496"/>
      <sz val="11"/>
    </font>
    <font>
      <b val="1"/>
    </font>
    <font>
      <name val="Courier New"/>
    </font>
    <font>
      <b val="1"/>
      <color rgb="00CC0000"/>
    </font>
    <font>
      <b val="1"/>
      <sz val="11"/>
    </font>
    <font>
      <color rgb="000563C1"/>
      <u val="single"/>
    </font>
  </fonts>
  <fills count="5">
    <fill>
      <patternFill/>
    </fill>
    <fill>
      <patternFill patternType="gray125"/>
    </fill>
    <fill>
      <patternFill patternType="solid">
        <fgColor rgb="00FFF2CC"/>
        <bgColor rgb="00FFF2CC"/>
      </patternFill>
    </fill>
    <fill>
      <patternFill patternType="solid">
        <fgColor rgb="00D9E2F3"/>
        <bgColor rgb="00D9E2F3"/>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5" fillId="0" borderId="0" applyAlignment="1" pivotButton="0" quotePrefix="0" xfId="0">
      <alignment wrapText="1"/>
    </xf>
    <xf numFmtId="0" fontId="6" fillId="0" borderId="0" pivotButton="0" quotePrefix="0" xfId="0"/>
    <xf numFmtId="0" fontId="7"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3" fillId="0" borderId="1" pivotButton="0" quotePrefix="0" xfId="0"/>
    <xf numFmtId="2" fontId="0" fillId="0" borderId="1" pivotButton="0" quotePrefix="0" xfId="0"/>
    <xf numFmtId="2" fontId="0" fillId="3" borderId="1" pivotButton="0" quotePrefix="0" xfId="0"/>
    <xf numFmtId="164" fontId="0" fillId="3" borderId="1" pivotButton="0" quotePrefix="0" xfId="0"/>
    <xf numFmtId="0" fontId="0" fillId="0" borderId="1" pivotButton="0" quotePrefix="0" xfId="0"/>
    <xf numFmtId="165" fontId="0" fillId="3" borderId="1" pivotButton="0" quotePrefix="0" xfId="0"/>
    <xf numFmtId="2" fontId="0" fillId="4" borderId="1" pivotButton="0" quotePrefix="0" xfId="0"/>
    <xf numFmtId="165" fontId="0" fillId="4" borderId="1" pivotButton="0" quotePrefix="0" xfId="0"/>
    <xf numFmtId="166" fontId="0" fillId="3" borderId="1" pivotButton="0" quotePrefix="0" xfId="0"/>
    <xf numFmtId="167" fontId="0" fillId="3" borderId="1" pivotButton="0" quotePrefix="0" xfId="0"/>
    <xf numFmtId="168" fontId="0" fillId="3" borderId="1" pivotButton="0" quotePrefix="0" xfId="0"/>
    <xf numFmtId="169" fontId="0" fillId="3" borderId="1" pivotButton="0" quotePrefix="0" xfId="0"/>
    <xf numFmtId="167" fontId="0" fillId="4" borderId="1" pivotButton="0" quotePrefix="0" xfId="0"/>
    <xf numFmtId="164" fontId="0" fillId="4" borderId="1" pivotButton="0" quotePrefix="0" xfId="0"/>
    <xf numFmtId="166" fontId="0" fillId="4" borderId="1" pivotButton="0" quotePrefix="0" xfId="0"/>
    <xf numFmtId="0" fontId="3" fillId="0" borderId="0" pivotButton="0" quotePrefix="0" xfId="0"/>
    <xf numFmtId="2" fontId="0" fillId="2" borderId="1" pivotButton="0" quotePrefix="0" xfId="0"/>
    <xf numFmtId="0" fontId="4" fillId="0" borderId="0" pivotButton="0" quotePrefix="0" xfId="0"/>
    <xf numFmtId="170" fontId="0" fillId="3" borderId="1" pivotButton="0" quotePrefix="0" xfId="0"/>
    <xf numFmtId="1" fontId="0" fillId="4" borderId="1" pivotButton="0" quotePrefix="0" xfId="0"/>
    <xf numFmtId="167" fontId="0" fillId="2" borderId="1" pivotButton="0" quotePrefix="0" xfId="0"/>
    <xf numFmtId="1" fontId="0" fillId="2" borderId="1" pivotButton="0" quotePrefix="0" xfId="0"/>
    <xf numFmtId="1" fontId="0" fillId="3" borderId="1" pivotButton="0" quotePrefix="0" xfId="0"/>
    <xf numFmtId="165" fontId="0" fillId="0" borderId="1" pivotButton="0" quotePrefix="0" xfId="0"/>
    <xf numFmtId="168" fontId="0" fillId="0" borderId="1" pivotButton="0" quotePrefix="0" xfId="0"/>
    <xf numFmtId="166" fontId="0"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Glide Regression: V/Δt vs V⁴</a:t>
            </a:r>
          </a:p>
        </rich>
      </tx>
    </title>
    <plotArea>
      <scatterChart>
        <ser>
          <idx val="0"/>
          <order val="0"/>
          <tx>
            <v>Glide data</v>
          </tx>
          <spPr>
            <a:ln>
              <a:noFill/>
              <a:prstDash val="solid"/>
            </a:ln>
          </spPr>
          <marker>
            <symbol val="none"/>
            <spPr>
              <a:ln>
                <a:prstDash val="solid"/>
              </a:ln>
            </spPr>
          </marker>
          <xVal>
            <numRef>
              <f>'Flight Tests → CD0, e'!$J$32:$J$43</f>
            </numRef>
          </xVal>
          <yVal>
            <numRef>
              <f>'Flight Tests → CD0, e'!$I$32:$I$43</f>
            </numRef>
          </yVal>
        </ser>
        <ser>
          <idx val="1"/>
          <order val="1"/>
          <tx>
            <v>Linear fit (R² in B56)</v>
          </tx>
          <spPr>
            <a:ln>
              <a:prstDash val="solid"/>
            </a:ln>
          </spPr>
          <marker>
            <symbol val="none"/>
            <spPr>
              <a:ln>
                <a:prstDash val="solid"/>
              </a:ln>
            </spPr>
          </marker>
          <xVal>
            <numRef>
              <f>'Flight Tests → CD0, e'!$J$59:$J$60</f>
            </numRef>
          </xVal>
          <yVal>
            <numRef>
              <f>'Flight Tests → CD0, e'!$I$59:$I$60</f>
            </numRef>
          </yVal>
        </ser>
        <axId val="10"/>
        <axId val="20"/>
      </scatterChart>
      <valAx>
        <axId val="10"/>
        <scaling>
          <orientation val="minMax"/>
        </scaling>
        <axPos val="l"/>
        <majorGridlines/>
        <title>
          <tx>
            <rich>
              <a:bodyPr/>
              <a:p>
                <a:pPr>
                  <a:defRPr/>
                </a:pPr>
                <a:r>
                  <a:t>V⁴ (fps⁴)</a:t>
                </a:r>
              </a:p>
            </rich>
          </tx>
        </title>
        <majorTickMark val="none"/>
        <minorTickMark val="none"/>
        <crossAx val="20"/>
      </valAx>
      <valAx>
        <axId val="20"/>
        <scaling>
          <orientation val="minMax"/>
        </scaling>
        <axPos val="l"/>
        <majorGridlines/>
        <title>
          <tx>
            <rich>
              <a:bodyPr/>
              <a:p>
                <a:pPr>
                  <a:defRPr/>
                </a:pPr>
                <a:r>
                  <a:t>V/Δt (fps/sec)</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Glide Endurance: KCAS × Δt vs KCAS</a:t>
            </a:r>
          </a:p>
        </rich>
      </tx>
    </title>
    <plotArea>
      <scatterChart>
        <ser>
          <idx val="0"/>
          <order val="0"/>
          <tx>
            <v>Glide data</v>
          </tx>
          <spPr>
            <a:ln>
              <a:prstDash val="solid"/>
            </a:ln>
          </spPr>
          <marker>
            <symbol val="none"/>
            <spPr>
              <a:ln>
                <a:prstDash val="solid"/>
              </a:ln>
            </spPr>
          </marker>
          <xVal>
            <numRef>
              <f>'Flight Tests → CD0, e'!$E$32:$E$43</f>
            </numRef>
          </xVal>
          <yVal>
            <numRef>
              <f>'Flight Tests → CD0, e'!$H$32:$H$43</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KCAS × Δt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Climb Rate vs Airspeed</a:t>
            </a:r>
          </a:p>
        </rich>
      </tx>
    </title>
    <plotArea>
      <scatterChart>
        <ser>
          <idx val="0"/>
          <order val="0"/>
          <tx>
            <v>Climb data</v>
          </tx>
          <spPr>
            <a:ln>
              <a:prstDash val="solid"/>
            </a:ln>
          </spPr>
          <marker>
            <symbol val="none"/>
            <spPr>
              <a:ln>
                <a:prstDash val="solid"/>
              </a:ln>
            </spPr>
          </marker>
          <xVal>
            <numRef>
              <f>'Flight Tests → CD0, e'!$E$64:$E$75</f>
            </numRef>
          </xVal>
          <yVal>
            <numRef>
              <f>'Flight Tests → CD0, e'!$G$64:$G$75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Rate of Climb (ft/min)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Thrust &amp; Drag vs Airspeed</a:t>
            </a:r>
          </a:p>
        </rich>
      </tx>
    </title>
    <plotArea>
      <scatterChart>
        <ser>
          <idx val="0"/>
          <order val="0"/>
          <tx>
            <v>Thrust</v>
          </tx>
          <spPr>
            <a:ln>
              <a:prstDash val="solid"/>
            </a:ln>
          </spPr>
          <marker>
            <symbol val="none"/>
            <spPr>
              <a:ln>
                <a:prstDash val="solid"/>
              </a:ln>
            </spPr>
          </marker>
          <xVal>
            <numRef>
              <f>'Performance Calculator'!$A$95:$A$255</f>
            </numRef>
          </xVal>
          <yVal>
            <numRef>
              <f>'Performance Calculator'!$I$95:$I$255</f>
            </numRef>
          </yVal>
        </ser>
        <ser>
          <idx val="1"/>
          <order val="1"/>
          <tx>
            <v>Drag</v>
          </tx>
          <spPr>
            <a:ln>
              <a:prstDash val="solid"/>
            </a:ln>
          </spPr>
          <marker>
            <symbol val="none"/>
            <spPr>
              <a:ln>
                <a:prstDash val="solid"/>
              </a:ln>
            </spPr>
          </marker>
          <xVal>
            <numRef>
              <f>'Performance Calculator'!$A$95:$A$255</f>
            </numRef>
          </xVal>
          <yVal>
            <numRef>
              <f>'Performance Calculator'!$M$95:$M$255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Force (lbf)</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of Climb vs Airspeed</a:t>
            </a:r>
          </a:p>
        </rich>
      </tx>
    </title>
    <plotArea>
      <scatterChart>
        <ser>
          <idx val="0"/>
          <order val="0"/>
          <tx>
            <v>ROC</v>
          </tx>
          <spPr>
            <a:ln>
              <a:prstDash val="solid"/>
            </a:ln>
          </spPr>
          <marker>
            <symbol val="none"/>
            <spPr>
              <a:ln>
                <a:prstDash val="solid"/>
              </a:ln>
            </spPr>
          </marker>
          <xVal>
            <numRef>
              <f>'Performance Calculator'!$A$95:$A$255</f>
            </numRef>
          </xVal>
          <yVal>
            <numRef>
              <f>'Performance Calculator'!$N$95:$N$255</f>
            </numRef>
          </yVal>
        </ser>
        <axId val="10"/>
        <axId val="20"/>
      </scatterChart>
      <valAx>
        <axId val="10"/>
        <scaling>
          <orientation val="minMax"/>
        </scaling>
        <axPos val="l"/>
        <majorGridlines/>
        <title>
          <tx>
            <rich>
              <a:bodyPr/>
              <a:p>
                <a:pPr>
                  <a:defRPr/>
                </a:pPr>
                <a:r>
                  <a:t>KCAS</a:t>
                </a:r>
              </a:p>
            </rich>
          </tx>
        </title>
        <majorTickMark val="none"/>
        <minorTickMark val="none"/>
        <crossAx val="20"/>
      </valAx>
      <valAx>
        <axId val="20"/>
        <scaling>
          <orientation val="minMax"/>
        </scaling>
        <axPos val="l"/>
        <majorGridlines/>
        <title>
          <tx>
            <rich>
              <a:bodyPr/>
              <a:p>
                <a:pPr>
                  <a:defRPr/>
                </a:pPr>
                <a:r>
                  <a:t>ROC (ft/min)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107</row>
      <rowOff>0</rowOff>
    </from>
    <ext cx="648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129</row>
      <rowOff>0</rowOff>
    </from>
    <ext cx="648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256</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256</row>
      <rowOff>0</rowOff>
    </from>
    <ext cx="7200000" cy="50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entat-collective/BootstrapMethod/blob/main/PerfOfLightAircraft.pdf" TargetMode="External" Id="rId1" /><Relationship Type="http://schemas.openxmlformats.org/officeDocument/2006/relationships/hyperlink" Target="https://avweb.com/features_old/the-bootstrap-approach-to-aircraft-performancepart-one-fixed-pitch-propeller-airplanes/" TargetMode="External" Id="rId2" /><Relationship Type="http://schemas.openxmlformats.org/officeDocument/2006/relationships/hyperlink" Target="https://avweb.com/features_old/the-bootstrap-approach-to-aircraft-performancepart-two-constant-speed-propeller-airplanes/" TargetMode="External" Id="rId3"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2F5496"/>
    <outlinePr summaryBelow="1" summaryRight="1"/>
    <pageSetUpPr/>
  </sheetPr>
  <dimension ref="A1:A40"/>
  <sheetViews>
    <sheetView workbookViewId="0">
      <selection activeCell="A1" sqref="A1"/>
    </sheetView>
  </sheetViews>
  <sheetFormatPr baseColWidth="8" defaultRowHeight="15"/>
  <cols>
    <col width="100" customWidth="1" min="1" max="1"/>
  </cols>
  <sheetData>
    <row r="1">
      <c r="A1" s="1" t="inlineStr">
        <is>
          <t>Bootstrap Method — Aircraft Performance Calculator</t>
        </is>
      </c>
    </row>
    <row r="3">
      <c r="A3" s="2" t="inlineStr">
        <is>
          <t>What is the Bootstrap Method?</t>
        </is>
      </c>
    </row>
    <row r="4" ht="60" customHeight="1">
      <c r="A4" s="3" t="inlineStr">
        <is>
          <t>The Bootstrap Method is an aircraft performance prediction technique for constant-speed propeller airplanes, developed by John T. Lowry in Performance of Light Aircraft (AIAA, 1999). It derives a complete performance envelope — thrust, drag, climb, glide, and optimum V-speeds — from a small set of flight-test-derived parameters called the 'bootstrap data plate.'</t>
        </is>
      </c>
    </row>
    <row r="6" ht="50" customHeight="1">
      <c r="A6" s="4" t="inlineStr">
        <is>
          <t>IMPORTANT: This spreadsheet implements the constant-speed propeller version of the Bootstrap Method using the Boeing/Uddenberg GAGPC propeller efficiency model. It is NOT suitable for fixed-pitch propeller aircraft, which require a different propeller model (see Lowry Ch. 5 or the AvWeb Part 1 article below).</t>
        </is>
      </c>
    </row>
    <row r="8">
      <c r="A8" s="2" t="inlineStr">
        <is>
          <t>Workflow</t>
        </is>
      </c>
    </row>
    <row r="9">
      <c r="A9" s="5" t="inlineStr">
        <is>
          <t>Step 1: Measure your propeller (Tab: Prop Blade → TAF)</t>
        </is>
      </c>
    </row>
    <row r="10" ht="55" customHeight="1">
      <c r="A10" s="3" t="inlineStr">
        <is>
          <t>Use calipers to measure blade width at 17 standard stations along the blade. The spreadsheet computes the Blade Activity Factor (BAF), Total Activity Factor (TAF), and the power adjustment factor X. This only needs to be done once per propeller.</t>
        </is>
      </c>
    </row>
    <row r="12">
      <c r="A12" s="5" t="inlineStr">
        <is>
          <t>Step 2: Fly glide and climb tests (Tab: Flight Tests → CD0, e)</t>
        </is>
      </c>
    </row>
    <row r="13" ht="55" customHeight="1">
      <c r="A13" s="3" t="inlineStr">
        <is>
          <t>Fly a series of timed glides at different airspeeds with prop at low RPM and power idle. The spreadsheet uses a V/Δt = a·V⁴ + b curve fit to extract the parasite drag coefficient (CD0) and airplane efficiency factor (e). Optionally fly climb tests at a known power setting for validation. Repeat if you make aerodynamic changes (fairings, seals, etc.).</t>
        </is>
      </c>
    </row>
    <row r="15">
      <c r="A15" s="5" t="inlineStr">
        <is>
          <t>Step 3: Review the data plate (Tab: Data Plate)</t>
        </is>
      </c>
    </row>
    <row r="16" ht="55" customHeight="1">
      <c r="A16" s="3" t="inlineStr">
        <is>
          <t>The Data Plate tab assembles all nine bootstrap parameters from your measurements and flight tests. Yellow cells are manual inputs (from your POH or measurements); green cells are computed from other tabs. A copy-paste Clojure map literal is provided for use with the companion calculator code.</t>
        </is>
      </c>
    </row>
    <row r="18">
      <c r="A18" s="5" t="inlineStr">
        <is>
          <t>Step 4: Explore performance (Tab: Performance Calculator)</t>
        </is>
      </c>
    </row>
    <row r="19" ht="55" customHeight="1">
      <c r="A19" s="3" t="inlineStr">
        <is>
          <t>The Performance Calculator computes a full performance table at any combination of weight, density altitude, RPM, and percent power. It finds all five optimum V-speeds (Vy, Vx, Vbg, Vmd, VM) and includes validation against the R182 reference data from Lowry's book. Data plate values are linked from the Data Plate tab — change them there.</t>
        </is>
      </c>
    </row>
    <row r="21">
      <c r="A21" s="2" t="inlineStr">
        <is>
          <t>V-Speeds</t>
        </is>
      </c>
    </row>
    <row r="22">
      <c r="A22" t="inlineStr">
        <is>
          <t>The calculator finds five optimum speeds from the performance table:</t>
        </is>
      </c>
    </row>
    <row r="23" ht="30" customHeight="1">
      <c r="A23" s="3" t="inlineStr">
        <is>
          <t xml:space="preserve">  • Vy — Best Rate of Climb: maximum altitude gain per minute. Use for normal climbs.</t>
        </is>
      </c>
    </row>
    <row r="24" ht="30" customHeight="1">
      <c r="A24" s="3" t="inlineStr">
        <is>
          <t xml:space="preserve">  • Vx — Best Angle of Climb: steepest climb gradient. Use for obstacle clearance.</t>
        </is>
      </c>
    </row>
    <row r="25" ht="30" customHeight="1">
      <c r="A25" s="3" t="inlineStr">
        <is>
          <t xml:space="preserve">  • Vbg — Best Glide: maximum L/D. Parasite drag = induced drag at this speed. Use after engine failure to maximize glide distance.</t>
        </is>
      </c>
    </row>
    <row r="26" ht="30" customHeight="1">
      <c r="A26" s="3" t="inlineStr">
        <is>
          <t xml:space="preserve">  • Vmd — Minimum Descent Rate: minimizes altitude lost per unit time (slower than Vbg). Use to stay aloft the longest.</t>
        </is>
      </c>
    </row>
    <row r="27" ht="30" customHeight="1">
      <c r="A27" s="3" t="inlineStr">
        <is>
          <t xml:space="preserve">  • VM — Max Level Flight Speed: highest airspeed where thrust ≥ drag.</t>
        </is>
      </c>
    </row>
    <row r="29">
      <c r="A29" s="2" t="inlineStr">
        <is>
          <t>References</t>
        </is>
      </c>
    </row>
    <row r="30" ht="30" customHeight="1">
      <c r="A30" s="3" t="inlineStr">
        <is>
          <t>John T. Lowry, Performance of Light Aircraft (AIAA, 1999):</t>
        </is>
      </c>
    </row>
    <row r="31" ht="30" customHeight="1">
      <c r="A31" s="6" t="inlineStr">
        <is>
          <t xml:space="preserve">  https://github.com/mentat-collective/BootstrapMethod/blob/main/PerfOfLightAircraft.pdf</t>
        </is>
      </c>
    </row>
    <row r="32" ht="30" customHeight="1">
      <c r="A32" s="3" t="inlineStr">
        <is>
          <t>AvWeb: "The Bootstrap Approach — Part 1: Fixed-Pitch Propeller Airplanes":</t>
        </is>
      </c>
    </row>
    <row r="33" ht="30" customHeight="1">
      <c r="A33" s="6" t="inlineStr">
        <is>
          <t xml:space="preserve">  https://avweb.com/features_old/the-bootstrap-approach-to-aircraft-performancepart-one-fixed-pitch-propeller-airplanes/</t>
        </is>
      </c>
    </row>
    <row r="34" ht="30" customHeight="1">
      <c r="A34" s="3" t="inlineStr">
        <is>
          <t>AvWeb: "The Bootstrap Approach — Part 2: Constant-Speed Propeller Airplanes":</t>
        </is>
      </c>
    </row>
    <row r="35" ht="30" customHeight="1">
      <c r="A35" s="6" t="inlineStr">
        <is>
          <t xml:space="preserve">  https://avweb.com/features_old/the-bootstrap-approach-to-aircraft-performancepart-two-constant-speed-propeller-airplanes/</t>
        </is>
      </c>
    </row>
    <row r="37">
      <c r="A37" s="2" t="inlineStr">
        <is>
          <t>Color Key</t>
        </is>
      </c>
    </row>
    <row r="38">
      <c r="A38" s="7" t="inlineStr">
        <is>
          <t>Yellow cells = your inputs (replace with your values)</t>
        </is>
      </c>
    </row>
    <row r="39">
      <c r="A39" s="8" t="inlineStr">
        <is>
          <t>Blue cells = computed values (do not edit)</t>
        </is>
      </c>
    </row>
    <row r="40">
      <c r="A40" s="9" t="inlineStr">
        <is>
          <t>Green cells = key results or cross-tab links</t>
        </is>
      </c>
    </row>
  </sheetData>
  <hyperlinks>
    <hyperlink xmlns:r="http://schemas.openxmlformats.org/officeDocument/2006/relationships" ref="A31" r:id="rId1"/>
    <hyperlink xmlns:r="http://schemas.openxmlformats.org/officeDocument/2006/relationships" ref="A33" r:id="rId2"/>
    <hyperlink xmlns:r="http://schemas.openxmlformats.org/officeDocument/2006/relationships" ref="A3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22" customWidth="1" min="1" max="1"/>
    <col width="18" customWidth="1" min="2" max="2"/>
    <col width="18" customWidth="1" min="3" max="3"/>
    <col width="22" customWidth="1" min="4" max="4"/>
    <col width="18" customWidth="1" min="5" max="5"/>
    <col width="22" customWidth="1" min="6" max="6"/>
  </cols>
  <sheetData>
    <row r="1">
      <c r="A1" s="1" t="inlineStr">
        <is>
          <t>Propeller Blade Activity Factor (BAF &amp; TAF)</t>
        </is>
      </c>
    </row>
    <row r="2">
      <c r="A2" t="inlineStr">
        <is>
          <t>Measure blade width at each station using calipers. Yellow cells = your inputs. Blue cells = computed.</t>
        </is>
      </c>
    </row>
    <row r="4">
      <c r="A4" s="2" t="inlineStr">
        <is>
          <t>Propeller Specs</t>
        </is>
      </c>
    </row>
    <row r="5">
      <c r="A5" s="10" t="inlineStr">
        <is>
          <t>Blade Radius R (inches):</t>
        </is>
      </c>
      <c r="B5" s="7" t="n"/>
    </row>
    <row r="6">
      <c r="A6" s="10" t="inlineStr">
        <is>
          <t>Number of Blades BB:</t>
        </is>
      </c>
      <c r="B6" s="7" t="n"/>
    </row>
    <row r="7">
      <c r="A7" s="10" t="inlineStr">
        <is>
          <t>Propeller Model:</t>
        </is>
      </c>
      <c r="B7" s="7" t="n"/>
    </row>
    <row r="9">
      <c r="A9" s="2" t="inlineStr">
        <is>
          <t>Station Measurements</t>
        </is>
      </c>
    </row>
    <row r="10">
      <c r="A10" s="10" t="inlineStr">
        <is>
          <t>Station (x = r/R)</t>
        </is>
      </c>
      <c r="B10" s="10" t="inlineStr">
        <is>
          <t>r = x × R (in)</t>
        </is>
      </c>
      <c r="C10" s="10" t="inlineStr">
        <is>
          <t>Blade Width b(x) (in)</t>
        </is>
      </c>
      <c r="D10" s="10" t="inlineStr">
        <is>
          <t>f(x) = x³ × b(x) / R</t>
        </is>
      </c>
      <c r="E10" s="10" t="inlineStr">
        <is>
          <t>Trap. Weight</t>
        </is>
      </c>
      <c r="F10" s="10" t="inlineStr">
        <is>
          <t>Weighted f(x)</t>
        </is>
      </c>
    </row>
    <row r="11">
      <c r="A11" s="11" t="n">
        <v>0.2</v>
      </c>
      <c r="B11" s="12">
        <f>A11*$B$5</f>
        <v/>
      </c>
      <c r="C11" s="7" t="n"/>
      <c r="D11" s="13">
        <f>A11^3*C11/$B$5</f>
        <v/>
      </c>
      <c r="E11" s="14" t="n">
        <v>1</v>
      </c>
      <c r="F11" s="13">
        <f>D11*E11</f>
        <v/>
      </c>
    </row>
    <row r="12">
      <c r="A12" s="11" t="n">
        <v>0.25</v>
      </c>
      <c r="B12" s="12">
        <f>A12*$B$5</f>
        <v/>
      </c>
      <c r="C12" s="7" t="n"/>
      <c r="D12" s="13">
        <f>A12^3*C12/$B$5</f>
        <v/>
      </c>
      <c r="E12" s="14" t="n">
        <v>2</v>
      </c>
      <c r="F12" s="13">
        <f>D12*E12</f>
        <v/>
      </c>
    </row>
    <row r="13">
      <c r="A13" s="11" t="n">
        <v>0.3</v>
      </c>
      <c r="B13" s="12">
        <f>A13*$B$5</f>
        <v/>
      </c>
      <c r="C13" s="7" t="n"/>
      <c r="D13" s="13">
        <f>A13^3*C13/$B$5</f>
        <v/>
      </c>
      <c r="E13" s="14" t="n">
        <v>2</v>
      </c>
      <c r="F13" s="13">
        <f>D13*E13</f>
        <v/>
      </c>
    </row>
    <row r="14">
      <c r="A14" s="11" t="n">
        <v>0.35</v>
      </c>
      <c r="B14" s="12">
        <f>A14*$B$5</f>
        <v/>
      </c>
      <c r="C14" s="7" t="n"/>
      <c r="D14" s="13">
        <f>A14^3*C14/$B$5</f>
        <v/>
      </c>
      <c r="E14" s="14" t="n">
        <v>2</v>
      </c>
      <c r="F14" s="13">
        <f>D14*E14</f>
        <v/>
      </c>
    </row>
    <row r="15">
      <c r="A15" s="11" t="n">
        <v>0.4</v>
      </c>
      <c r="B15" s="12">
        <f>A15*$B$5</f>
        <v/>
      </c>
      <c r="C15" s="7" t="n"/>
      <c r="D15" s="13">
        <f>A15^3*C15/$B$5</f>
        <v/>
      </c>
      <c r="E15" s="14" t="n">
        <v>2</v>
      </c>
      <c r="F15" s="13">
        <f>D15*E15</f>
        <v/>
      </c>
    </row>
    <row r="16">
      <c r="A16" s="11" t="n">
        <v>0.45</v>
      </c>
      <c r="B16" s="12">
        <f>A16*$B$5</f>
        <v/>
      </c>
      <c r="C16" s="7" t="n"/>
      <c r="D16" s="13">
        <f>A16^3*C16/$B$5</f>
        <v/>
      </c>
      <c r="E16" s="14" t="n">
        <v>2</v>
      </c>
      <c r="F16" s="13">
        <f>D16*E16</f>
        <v/>
      </c>
    </row>
    <row r="17">
      <c r="A17" s="11" t="n">
        <v>0.5</v>
      </c>
      <c r="B17" s="12">
        <f>A17*$B$5</f>
        <v/>
      </c>
      <c r="C17" s="7" t="n"/>
      <c r="D17" s="13">
        <f>A17^3*C17/$B$5</f>
        <v/>
      </c>
      <c r="E17" s="14" t="n">
        <v>2</v>
      </c>
      <c r="F17" s="13">
        <f>D17*E17</f>
        <v/>
      </c>
    </row>
    <row r="18">
      <c r="A18" s="11" t="n">
        <v>0.55</v>
      </c>
      <c r="B18" s="12">
        <f>A18*$B$5</f>
        <v/>
      </c>
      <c r="C18" s="7" t="n"/>
      <c r="D18" s="13">
        <f>A18^3*C18/$B$5</f>
        <v/>
      </c>
      <c r="E18" s="14" t="n">
        <v>2</v>
      </c>
      <c r="F18" s="13">
        <f>D18*E18</f>
        <v/>
      </c>
    </row>
    <row r="19">
      <c r="A19" s="11" t="n">
        <v>0.6</v>
      </c>
      <c r="B19" s="12">
        <f>A19*$B$5</f>
        <v/>
      </c>
      <c r="C19" s="7" t="n"/>
      <c r="D19" s="13">
        <f>A19^3*C19/$B$5</f>
        <v/>
      </c>
      <c r="E19" s="14" t="n">
        <v>2</v>
      </c>
      <c r="F19" s="13">
        <f>D19*E19</f>
        <v/>
      </c>
    </row>
    <row r="20">
      <c r="A20" s="11" t="n">
        <v>0.65</v>
      </c>
      <c r="B20" s="12">
        <f>A20*$B$5</f>
        <v/>
      </c>
      <c r="C20" s="7" t="n"/>
      <c r="D20" s="13">
        <f>A20^3*C20/$B$5</f>
        <v/>
      </c>
      <c r="E20" s="14" t="n">
        <v>2</v>
      </c>
      <c r="F20" s="13">
        <f>D20*E20</f>
        <v/>
      </c>
    </row>
    <row r="21">
      <c r="A21" s="11" t="n">
        <v>0.7</v>
      </c>
      <c r="B21" s="12">
        <f>A21*$B$5</f>
        <v/>
      </c>
      <c r="C21" s="7" t="n"/>
      <c r="D21" s="13">
        <f>A21^3*C21/$B$5</f>
        <v/>
      </c>
      <c r="E21" s="14" t="n">
        <v>2</v>
      </c>
      <c r="F21" s="13">
        <f>D21*E21</f>
        <v/>
      </c>
    </row>
    <row r="22">
      <c r="A22" s="11" t="n">
        <v>0.75</v>
      </c>
      <c r="B22" s="12">
        <f>A22*$B$5</f>
        <v/>
      </c>
      <c r="C22" s="7" t="n"/>
      <c r="D22" s="13">
        <f>A22^3*C22/$B$5</f>
        <v/>
      </c>
      <c r="E22" s="14" t="n">
        <v>2</v>
      </c>
      <c r="F22" s="13">
        <f>D22*E22</f>
        <v/>
      </c>
    </row>
    <row r="23">
      <c r="A23" s="11" t="n">
        <v>0.8</v>
      </c>
      <c r="B23" s="12">
        <f>A23*$B$5</f>
        <v/>
      </c>
      <c r="C23" s="7" t="n"/>
      <c r="D23" s="13">
        <f>A23^3*C23/$B$5</f>
        <v/>
      </c>
      <c r="E23" s="14" t="n">
        <v>2</v>
      </c>
      <c r="F23" s="13">
        <f>D23*E23</f>
        <v/>
      </c>
    </row>
    <row r="24">
      <c r="A24" s="11" t="n">
        <v>0.85</v>
      </c>
      <c r="B24" s="12">
        <f>A24*$B$5</f>
        <v/>
      </c>
      <c r="C24" s="7" t="n"/>
      <c r="D24" s="13">
        <f>A24^3*C24/$B$5</f>
        <v/>
      </c>
      <c r="E24" s="14" t="n">
        <v>2</v>
      </c>
      <c r="F24" s="13">
        <f>D24*E24</f>
        <v/>
      </c>
    </row>
    <row r="25">
      <c r="A25" s="11" t="n">
        <v>0.9</v>
      </c>
      <c r="B25" s="12">
        <f>A25*$B$5</f>
        <v/>
      </c>
      <c r="C25" s="7" t="n"/>
      <c r="D25" s="13">
        <f>A25^3*C25/$B$5</f>
        <v/>
      </c>
      <c r="E25" s="14" t="n">
        <v>2</v>
      </c>
      <c r="F25" s="13">
        <f>D25*E25</f>
        <v/>
      </c>
    </row>
    <row r="26">
      <c r="A26" s="11" t="n">
        <v>0.95</v>
      </c>
      <c r="B26" s="12">
        <f>A26*$B$5</f>
        <v/>
      </c>
      <c r="C26" s="7" t="n"/>
      <c r="D26" s="13">
        <f>A26^3*C26/$B$5</f>
        <v/>
      </c>
      <c r="E26" s="14" t="n">
        <v>2</v>
      </c>
      <c r="F26" s="13">
        <f>D26*E26</f>
        <v/>
      </c>
    </row>
    <row r="27">
      <c r="A27" s="11" t="n">
        <v>1</v>
      </c>
      <c r="B27" s="12">
        <f>A27*$B$5</f>
        <v/>
      </c>
      <c r="C27" s="7" t="n"/>
      <c r="D27" s="13">
        <f>A27^3*C27/$B$5</f>
        <v/>
      </c>
      <c r="E27" s="14" t="n">
        <v>1</v>
      </c>
      <c r="F27" s="13">
        <f>D27*E27</f>
        <v/>
      </c>
    </row>
    <row r="29">
      <c r="A29" s="2" t="inlineStr">
        <is>
          <t>Results</t>
        </is>
      </c>
    </row>
    <row r="30">
      <c r="A30" s="10" t="inlineStr">
        <is>
          <t>Sum of weighted f(x):</t>
        </is>
      </c>
      <c r="B30" s="15">
        <f>SUM(F11:F27)</f>
        <v/>
      </c>
    </row>
    <row r="31">
      <c r="A31" s="10" t="inlineStr">
        <is>
          <t>BAF (Blade Activity Factor):</t>
        </is>
      </c>
      <c r="B31" s="16">
        <f>78.125/$B$5*B30</f>
        <v/>
      </c>
      <c r="C31" t="inlineStr">
        <is>
          <t>Eq. 6.56: BAF = (78.125/R) × Σ weighted f(x)</t>
        </is>
      </c>
    </row>
    <row r="32">
      <c r="A32" s="10" t="inlineStr">
        <is>
          <t>TAF (Total Activity Factor):</t>
        </is>
      </c>
      <c r="B32" s="16">
        <f>$B$6*B31</f>
        <v/>
      </c>
      <c r="C32" t="inlineStr">
        <is>
          <t>Eq. 6.55: TAF = BB × BAF</t>
        </is>
      </c>
    </row>
    <row r="33">
      <c r="A33" s="10" t="inlineStr">
        <is>
          <t>X (Power Adj. Factor):</t>
        </is>
      </c>
      <c r="B33" s="17">
        <f>0.001515*B32-0.0880</f>
        <v/>
      </c>
      <c r="C33" t="inlineStr">
        <is>
          <t>Eq. 6.57: X = 0.001515 × TAF - 0.0880</t>
        </is>
      </c>
    </row>
    <row r="35">
      <c r="A35" s="2" t="inlineStr">
        <is>
          <t>Validation:</t>
        </is>
      </c>
    </row>
    <row r="36">
      <c r="A36" t="inlineStr">
        <is>
          <t>Typical GA BAF range: 70-140</t>
        </is>
      </c>
    </row>
    <row r="37">
      <c r="A37" t="inlineStr">
        <is>
          <t>R182 example: R=41, BB=2 → BAF=97.94, TAF=195.9</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8" customWidth="1" min="10" max="10"/>
  </cols>
  <sheetData>
    <row r="1">
      <c r="A1" s="1" t="inlineStr">
        <is>
          <t>Glide &amp; Climb Flight Tests</t>
        </is>
      </c>
    </row>
    <row r="2">
      <c r="A2" t="inlineStr">
        <is>
          <t>Yellow = inputs. Blue = computed. Green = results. Glide tests derive CD0 and e. Climb tests are for validation.</t>
        </is>
      </c>
    </row>
    <row r="4">
      <c r="A4" s="2" t="inlineStr">
        <is>
          <t>Aircraft Constants</t>
        </is>
      </c>
    </row>
    <row r="5">
      <c r="A5" s="10" t="inlineStr">
        <is>
          <t>Wing area S (ft²):</t>
        </is>
      </c>
      <c r="B5" s="7" t="n"/>
    </row>
    <row r="6">
      <c r="A6" s="10" t="inlineStr">
        <is>
          <t>Wing span B (ft):</t>
        </is>
      </c>
      <c r="B6" s="7" t="n"/>
    </row>
    <row r="7">
      <c r="A7" s="10" t="inlineStr">
        <is>
          <t>Aspect ratio A:</t>
        </is>
      </c>
      <c r="B7" s="18">
        <f>B6^2/B5</f>
        <v/>
      </c>
    </row>
    <row r="9">
      <c r="A9" s="2" t="inlineStr">
        <is>
          <t>Test Conditions</t>
        </is>
      </c>
    </row>
    <row r="10">
      <c r="A10" s="10" t="inlineStr">
        <is>
          <t>Date:</t>
        </is>
      </c>
      <c r="B10" s="7" t="n"/>
    </row>
    <row r="11">
      <c r="A11" s="10" t="inlineStr">
        <is>
          <t>Top Pressure Alt (ft):</t>
        </is>
      </c>
      <c r="B11" s="7" t="n"/>
    </row>
    <row r="12">
      <c r="A12" s="10" t="inlineStr">
        <is>
          <t>Bottom Pressure Alt (ft):</t>
        </is>
      </c>
      <c r="B12" s="7" t="n"/>
    </row>
    <row r="13">
      <c r="A13" s="10" t="inlineStr">
        <is>
          <t>ΔH pressure (ft):</t>
        </is>
      </c>
      <c r="B13" s="19">
        <f>B11-B12</f>
        <v/>
      </c>
    </row>
    <row r="14">
      <c r="A14" s="10" t="inlineStr">
        <is>
          <t>OAT at midpoint (°F):</t>
        </is>
      </c>
      <c r="B14" s="7" t="n"/>
    </row>
    <row r="15">
      <c r="A15" s="10" t="inlineStr">
        <is>
          <t>Mid pressure alt (ft):</t>
        </is>
      </c>
      <c r="B15" s="19">
        <f>(B11+B12)/2</f>
        <v/>
      </c>
    </row>
    <row r="16">
      <c r="A16" s="10" t="inlineStr">
        <is>
          <t>Std temp at mid alt (°F):</t>
        </is>
      </c>
      <c r="B16" s="19">
        <f>59-0.003566*B15</f>
        <v/>
      </c>
    </row>
    <row r="17">
      <c r="A17" s="10" t="inlineStr">
        <is>
          <t>Tapeline correction:</t>
        </is>
      </c>
      <c r="B17" s="15">
        <f>(B14+459.7)/(B16+459.7)</f>
        <v/>
      </c>
    </row>
    <row r="18">
      <c r="A18" s="10" t="inlineStr">
        <is>
          <t>ΔH tapeline (ft):</t>
        </is>
      </c>
      <c r="B18" s="19">
        <f>B13*B17</f>
        <v/>
      </c>
    </row>
    <row r="19">
      <c r="A19" s="10" t="inlineStr">
        <is>
          <t>σ (density ratio):</t>
        </is>
      </c>
      <c r="B19" s="15">
        <f>(1-0.003566*B15/518.7)^(1/0.234957)</f>
        <v/>
      </c>
    </row>
    <row r="20">
      <c r="A20" s="10" t="inlineStr">
        <is>
          <t>ρ (slug/ft³):</t>
        </is>
      </c>
      <c r="B20" s="20">
        <f>0.002377*B19</f>
        <v/>
      </c>
    </row>
    <row r="22">
      <c r="A22" s="2" t="inlineStr">
        <is>
          <t>Weight Computation</t>
        </is>
      </c>
    </row>
    <row r="23">
      <c r="A23" s="10" t="inlineStr">
        <is>
          <t>Empty weight (lbs):</t>
        </is>
      </c>
      <c r="B23" s="7" t="n"/>
    </row>
    <row r="24">
      <c r="A24" s="10" t="inlineStr">
        <is>
          <t>Pilot + pax (lbs):</t>
        </is>
      </c>
      <c r="B24" s="7" t="n"/>
    </row>
    <row r="25">
      <c r="A25" s="10" t="inlineStr">
        <is>
          <t>Baggage (lbs):</t>
        </is>
      </c>
      <c r="B25" s="7" t="n"/>
    </row>
    <row r="27">
      <c r="A27" s="2" t="inlineStr">
        <is>
          <t>IAS → CAS Correction</t>
        </is>
      </c>
    </row>
    <row r="28">
      <c r="A28" s="10" t="inlineStr">
        <is>
          <t>Position error (kt):</t>
        </is>
      </c>
      <c r="B28" s="7" t="n">
        <v>0</v>
      </c>
      <c r="C28" t="inlineStr">
        <is>
          <t>(Enter correction to add; 0 if KIAS ≈ KCAS)</t>
        </is>
      </c>
    </row>
    <row r="30">
      <c r="A30" s="2" t="inlineStr">
        <is>
          <t>GLIDE TEST RUNS</t>
        </is>
      </c>
      <c r="E30" t="inlineStr">
        <is>
          <t>Prop at low RPM, power idle, trimmed &amp; stabilized</t>
        </is>
      </c>
    </row>
    <row r="31">
      <c r="A31" s="10" t="inlineStr">
        <is>
          <t>Run #</t>
        </is>
      </c>
      <c r="B31" s="10" t="inlineStr">
        <is>
          <t>Fuel (gal)</t>
        </is>
      </c>
      <c r="C31" s="10" t="inlineStr">
        <is>
          <t>Gross Wt (lbs)</t>
        </is>
      </c>
      <c r="D31" s="10" t="inlineStr">
        <is>
          <t>KIAS</t>
        </is>
      </c>
      <c r="E31" s="10" t="inlineStr">
        <is>
          <t>KCAS</t>
        </is>
      </c>
      <c r="F31" s="10" t="inlineStr">
        <is>
          <t>Δt (sec)</t>
        </is>
      </c>
      <c r="G31" s="10" t="inlineStr">
        <is>
          <t>V_TAS (fps)</t>
        </is>
      </c>
      <c r="H31" s="10" t="inlineStr">
        <is>
          <t>KCAS × Δt</t>
        </is>
      </c>
      <c r="I31" s="10" t="inlineStr">
        <is>
          <t>V/Δt</t>
        </is>
      </c>
      <c r="J31" s="10" t="inlineStr">
        <is>
          <t>V⁴</t>
        </is>
      </c>
    </row>
    <row r="32">
      <c r="A32" s="14" t="n">
        <v>1</v>
      </c>
      <c r="B32" s="7" t="n"/>
      <c r="C32" s="19">
        <f>IF(B32="","",$B$23+$B$24+$B$25+B32*6)</f>
        <v/>
      </c>
      <c r="D32" s="7" t="n"/>
      <c r="E32" s="19">
        <f>IF(D32="","",D32+$B$28)</f>
        <v/>
      </c>
      <c r="F32" s="7" t="n"/>
      <c r="G32" s="12">
        <f>IF(D32="","",IFERROR((E32/SQRT($B$19))/0.5924838,""))</f>
        <v/>
      </c>
      <c r="H32" s="19">
        <f>IF(OR(D32="",F32=""),"",E32*F32)</f>
        <v/>
      </c>
      <c r="I32" s="18">
        <f>IF(OR(D32="",F32=""),"",G32/F32)</f>
        <v/>
      </c>
      <c r="J32" s="19">
        <f>IF(OR(D32="",F32=""),"",G32^4)</f>
        <v/>
      </c>
    </row>
    <row r="33">
      <c r="A33" s="14" t="n">
        <v>2</v>
      </c>
      <c r="B33" s="7" t="n"/>
      <c r="C33" s="19">
        <f>IF(B33="","",$B$23+$B$24+$B$25+B33*6)</f>
        <v/>
      </c>
      <c r="D33" s="7" t="n"/>
      <c r="E33" s="19">
        <f>IF(D33="","",D33+$B$28)</f>
        <v/>
      </c>
      <c r="F33" s="7" t="n"/>
      <c r="G33" s="12">
        <f>IF(D33="","",IFERROR((E33/SQRT($B$19))/0.5924838,""))</f>
        <v/>
      </c>
      <c r="H33" s="19">
        <f>IF(OR(D33="",F33=""),"",E33*F33)</f>
        <v/>
      </c>
      <c r="I33" s="18">
        <f>IF(OR(D33="",F33=""),"",G33/F33)</f>
        <v/>
      </c>
      <c r="J33" s="19">
        <f>IF(OR(D33="",F33=""),"",G33^4)</f>
        <v/>
      </c>
    </row>
    <row r="34">
      <c r="A34" s="14" t="n">
        <v>3</v>
      </c>
      <c r="B34" s="7" t="n"/>
      <c r="C34" s="19">
        <f>IF(B34="","",$B$23+$B$24+$B$25+B34*6)</f>
        <v/>
      </c>
      <c r="D34" s="7" t="n"/>
      <c r="E34" s="19">
        <f>IF(D34="","",D34+$B$28)</f>
        <v/>
      </c>
      <c r="F34" s="7" t="n"/>
      <c r="G34" s="12">
        <f>IF(D34="","",IFERROR((E34/SQRT($B$19))/0.5924838,""))</f>
        <v/>
      </c>
      <c r="H34" s="19">
        <f>IF(OR(D34="",F34=""),"",E34*F34)</f>
        <v/>
      </c>
      <c r="I34" s="18">
        <f>IF(OR(D34="",F34=""),"",G34/F34)</f>
        <v/>
      </c>
      <c r="J34" s="19">
        <f>IF(OR(D34="",F34=""),"",G34^4)</f>
        <v/>
      </c>
    </row>
    <row r="35">
      <c r="A35" s="14" t="n">
        <v>4</v>
      </c>
      <c r="B35" s="7" t="n"/>
      <c r="C35" s="19">
        <f>IF(B35="","",$B$23+$B$24+$B$25+B35*6)</f>
        <v/>
      </c>
      <c r="D35" s="7" t="n"/>
      <c r="E35" s="19">
        <f>IF(D35="","",D35+$B$28)</f>
        <v/>
      </c>
      <c r="F35" s="7" t="n"/>
      <c r="G35" s="12">
        <f>IF(D35="","",IFERROR((E35/SQRT($B$19))/0.5924838,""))</f>
        <v/>
      </c>
      <c r="H35" s="19">
        <f>IF(OR(D35="",F35=""),"",E35*F35)</f>
        <v/>
      </c>
      <c r="I35" s="18">
        <f>IF(OR(D35="",F35=""),"",G35/F35)</f>
        <v/>
      </c>
      <c r="J35" s="19">
        <f>IF(OR(D35="",F35=""),"",G35^4)</f>
        <v/>
      </c>
    </row>
    <row r="36">
      <c r="A36" s="14" t="n">
        <v>5</v>
      </c>
      <c r="B36" s="7" t="n"/>
      <c r="C36" s="19">
        <f>IF(B36="","",$B$23+$B$24+$B$25+B36*6)</f>
        <v/>
      </c>
      <c r="D36" s="7" t="n"/>
      <c r="E36" s="19">
        <f>IF(D36="","",D36+$B$28)</f>
        <v/>
      </c>
      <c r="F36" s="7" t="n"/>
      <c r="G36" s="12">
        <f>IF(D36="","",IFERROR((E36/SQRT($B$19))/0.5924838,""))</f>
        <v/>
      </c>
      <c r="H36" s="19">
        <f>IF(OR(D36="",F36=""),"",E36*F36)</f>
        <v/>
      </c>
      <c r="I36" s="18">
        <f>IF(OR(D36="",F36=""),"",G36/F36)</f>
        <v/>
      </c>
      <c r="J36" s="19">
        <f>IF(OR(D36="",F36=""),"",G36^4)</f>
        <v/>
      </c>
    </row>
    <row r="37">
      <c r="A37" s="14" t="n">
        <v>6</v>
      </c>
      <c r="B37" s="7" t="n"/>
      <c r="C37" s="19">
        <f>IF(B37="","",$B$23+$B$24+$B$25+B37*6)</f>
        <v/>
      </c>
      <c r="D37" s="7" t="n"/>
      <c r="E37" s="19">
        <f>IF(D37="","",D37+$B$28)</f>
        <v/>
      </c>
      <c r="F37" s="7" t="n"/>
      <c r="G37" s="12">
        <f>IF(D37="","",IFERROR((E37/SQRT($B$19))/0.5924838,""))</f>
        <v/>
      </c>
      <c r="H37" s="19">
        <f>IF(OR(D37="",F37=""),"",E37*F37)</f>
        <v/>
      </c>
      <c r="I37" s="18">
        <f>IF(OR(D37="",F37=""),"",G37/F37)</f>
        <v/>
      </c>
      <c r="J37" s="19">
        <f>IF(OR(D37="",F37=""),"",G37^4)</f>
        <v/>
      </c>
    </row>
    <row r="38">
      <c r="A38" s="14" t="n">
        <v>7</v>
      </c>
      <c r="B38" s="7" t="n"/>
      <c r="C38" s="19">
        <f>IF(B38="","",$B$23+$B$24+$B$25+B38*6)</f>
        <v/>
      </c>
      <c r="D38" s="7" t="n"/>
      <c r="E38" s="19">
        <f>IF(D38="","",D38+$B$28)</f>
        <v/>
      </c>
      <c r="F38" s="7" t="n"/>
      <c r="G38" s="12">
        <f>IF(D38="","",IFERROR((E38/SQRT($B$19))/0.5924838,""))</f>
        <v/>
      </c>
      <c r="H38" s="19">
        <f>IF(OR(D38="",F38=""),"",E38*F38)</f>
        <v/>
      </c>
      <c r="I38" s="18">
        <f>IF(OR(D38="",F38=""),"",G38/F38)</f>
        <v/>
      </c>
      <c r="J38" s="19">
        <f>IF(OR(D38="",F38=""),"",G38^4)</f>
        <v/>
      </c>
    </row>
    <row r="39">
      <c r="A39" s="14" t="n">
        <v>8</v>
      </c>
      <c r="B39" s="7" t="n"/>
      <c r="C39" s="19">
        <f>IF(B39="","",$B$23+$B$24+$B$25+B39*6)</f>
        <v/>
      </c>
      <c r="D39" s="7" t="n"/>
      <c r="E39" s="19">
        <f>IF(D39="","",D39+$B$28)</f>
        <v/>
      </c>
      <c r="F39" s="7" t="n"/>
      <c r="G39" s="12">
        <f>IF(D39="","",IFERROR((E39/SQRT($B$19))/0.5924838,""))</f>
        <v/>
      </c>
      <c r="H39" s="19">
        <f>IF(OR(D39="",F39=""),"",E39*F39)</f>
        <v/>
      </c>
      <c r="I39" s="18">
        <f>IF(OR(D39="",F39=""),"",G39/F39)</f>
        <v/>
      </c>
      <c r="J39" s="19">
        <f>IF(OR(D39="",F39=""),"",G39^4)</f>
        <v/>
      </c>
    </row>
    <row r="40">
      <c r="A40" s="14" t="n">
        <v>9</v>
      </c>
      <c r="B40" s="7" t="n"/>
      <c r="C40" s="19">
        <f>IF(B40="","",$B$23+$B$24+$B$25+B40*6)</f>
        <v/>
      </c>
      <c r="D40" s="7" t="n"/>
      <c r="E40" s="19">
        <f>IF(D40="","",D40+$B$28)</f>
        <v/>
      </c>
      <c r="F40" s="7" t="n"/>
      <c r="G40" s="12">
        <f>IF(D40="","",IFERROR((E40/SQRT($B$19))/0.5924838,""))</f>
        <v/>
      </c>
      <c r="H40" s="19">
        <f>IF(OR(D40="",F40=""),"",E40*F40)</f>
        <v/>
      </c>
      <c r="I40" s="18">
        <f>IF(OR(D40="",F40=""),"",G40/F40)</f>
        <v/>
      </c>
      <c r="J40" s="19">
        <f>IF(OR(D40="",F40=""),"",G40^4)</f>
        <v/>
      </c>
    </row>
    <row r="41">
      <c r="A41" s="14" t="n">
        <v>10</v>
      </c>
      <c r="B41" s="7" t="n"/>
      <c r="C41" s="19">
        <f>IF(B41="","",$B$23+$B$24+$B$25+B41*6)</f>
        <v/>
      </c>
      <c r="D41" s="7" t="n"/>
      <c r="E41" s="19">
        <f>IF(D41="","",D41+$B$28)</f>
        <v/>
      </c>
      <c r="F41" s="7" t="n"/>
      <c r="G41" s="12">
        <f>IF(D41="","",IFERROR((E41/SQRT($B$19))/0.5924838,""))</f>
        <v/>
      </c>
      <c r="H41" s="19">
        <f>IF(OR(D41="",F41=""),"",E41*F41)</f>
        <v/>
      </c>
      <c r="I41" s="18">
        <f>IF(OR(D41="",F41=""),"",G41/F41)</f>
        <v/>
      </c>
      <c r="J41" s="19">
        <f>IF(OR(D41="",F41=""),"",G41^4)</f>
        <v/>
      </c>
    </row>
    <row r="42">
      <c r="A42" s="14" t="n">
        <v>11</v>
      </c>
      <c r="B42" s="7" t="n"/>
      <c r="C42" s="19">
        <f>IF(B42="","",$B$23+$B$24+$B$25+B42*6)</f>
        <v/>
      </c>
      <c r="D42" s="7" t="n"/>
      <c r="E42" s="19">
        <f>IF(D42="","",D42+$B$28)</f>
        <v/>
      </c>
      <c r="F42" s="7" t="n"/>
      <c r="G42" s="12">
        <f>IF(D42="","",IFERROR((E42/SQRT($B$19))/0.5924838,""))</f>
        <v/>
      </c>
      <c r="H42" s="19">
        <f>IF(OR(D42="",F42=""),"",E42*F42)</f>
        <v/>
      </c>
      <c r="I42" s="18">
        <f>IF(OR(D42="",F42=""),"",G42/F42)</f>
        <v/>
      </c>
      <c r="J42" s="19">
        <f>IF(OR(D42="",F42=""),"",G42^4)</f>
        <v/>
      </c>
    </row>
    <row r="43">
      <c r="A43" s="14" t="n">
        <v>12</v>
      </c>
      <c r="B43" s="7" t="n"/>
      <c r="C43" s="19">
        <f>IF(B43="","",$B$23+$B$24+$B$25+B43*6)</f>
        <v/>
      </c>
      <c r="D43" s="7" t="n"/>
      <c r="E43" s="19">
        <f>IF(D43="","",D43+$B$28)</f>
        <v/>
      </c>
      <c r="F43" s="7" t="n"/>
      <c r="G43" s="12">
        <f>IF(D43="","",IFERROR((E43/SQRT($B$19))/0.5924838,""))</f>
        <v/>
      </c>
      <c r="H43" s="19">
        <f>IF(OR(D43="",F43=""),"",E43*F43)</f>
        <v/>
      </c>
      <c r="I43" s="18">
        <f>IF(OR(D43="",F43=""),"",G43/F43)</f>
        <v/>
      </c>
      <c r="J43" s="19">
        <f>IF(OR(D43="",F43=""),"",G43^4)</f>
        <v/>
      </c>
    </row>
    <row r="45">
      <c r="A45" s="2" t="inlineStr">
        <is>
          <t>Curve Fit: V/Δt = a·V⁴ + b</t>
        </is>
      </c>
    </row>
    <row r="46">
      <c r="A46" s="10" t="inlineStr">
        <is>
          <t>Avg gross weight W (lbs):</t>
        </is>
      </c>
      <c r="B46" s="19">
        <f>AVERAGE(C32:C43)</f>
        <v/>
      </c>
      <c r="C46" t="inlineStr">
        <is>
          <t>(used for CD0/e extraction)</t>
        </is>
      </c>
    </row>
    <row r="47">
      <c r="A47" s="10" t="inlineStr">
        <is>
          <t>a (slope):</t>
        </is>
      </c>
      <c r="B47" s="21">
        <f>SLOPE(I32:I43,J32:J43)</f>
        <v/>
      </c>
      <c r="C47" t="inlineStr">
        <is>
          <t>a = CD0·ρ·S / (2·W·ΔH)</t>
        </is>
      </c>
    </row>
    <row r="48">
      <c r="A48" s="10" t="inlineStr">
        <is>
          <t>b (intercept):</t>
        </is>
      </c>
      <c r="B48" s="20">
        <f>INTERCEPT(I32:I43,J32:J43)</f>
        <v/>
      </c>
      <c r="C48" t="inlineStr">
        <is>
          <t>b = 2·W / (ρ·S·π·A·e·ΔH)</t>
        </is>
      </c>
    </row>
    <row r="49">
      <c r="A49" s="10" t="inlineStr">
        <is>
          <t>V_bg TAS (fps):</t>
        </is>
      </c>
      <c r="B49" s="12">
        <f>(B48/B47)^0.25</f>
        <v/>
      </c>
      <c r="C49" t="inlineStr">
        <is>
          <t>V_bg = (b/a)^(1/4)</t>
        </is>
      </c>
    </row>
    <row r="50">
      <c r="A50" s="10" t="inlineStr">
        <is>
          <t>Vbg (KCAS):</t>
        </is>
      </c>
      <c r="B50" s="22">
        <f>B49*SQRT($B$19)*0.5924838</f>
        <v/>
      </c>
      <c r="C50" t="inlineStr">
        <is>
          <t>V_bg_TAS × √σ × 0.5924838</t>
        </is>
      </c>
    </row>
    <row r="52">
      <c r="A52" s="2" t="inlineStr">
        <is>
          <t>CD0 and e (from curve fit)</t>
        </is>
      </c>
    </row>
    <row r="53">
      <c r="A53" s="10" t="inlineStr">
        <is>
          <t>CD0:</t>
        </is>
      </c>
      <c r="B53" s="23">
        <f>B47*2*B46*$B$18/($B$20*$B$5)</f>
        <v/>
      </c>
      <c r="C53" t="inlineStr">
        <is>
          <t>a × 2·W·ΔH / (ρ·S)</t>
        </is>
      </c>
    </row>
    <row r="54">
      <c r="A54" s="10" t="inlineStr">
        <is>
          <t>e (efficiency factor):</t>
        </is>
      </c>
      <c r="B54" s="24">
        <f>2*B46/(B48*$B$20*$B$5*PI()*$B$7*$B$18)</f>
        <v/>
      </c>
      <c r="C54" t="inlineStr">
        <is>
          <t>2·W / (b·ρ·S·π·A·ΔH)</t>
        </is>
      </c>
    </row>
    <row r="55">
      <c r="A55" s="10" t="inlineStr">
        <is>
          <t>Max L/D:</t>
        </is>
      </c>
      <c r="B55" s="19">
        <f>1/(2*SQRT(B53/(PI()*$B$7*B54)))</f>
        <v/>
      </c>
      <c r="C55" t="inlineStr">
        <is>
          <t>1 / (2·√(CD0/(π·A·e)))</t>
        </is>
      </c>
    </row>
    <row r="56">
      <c r="A56" s="10" t="inlineStr">
        <is>
          <t>R² (fit quality):</t>
        </is>
      </c>
      <c r="B56" s="15">
        <f>RSQ(I32:I43,J32:J43)</f>
        <v/>
      </c>
      <c r="C56" t="inlineStr">
        <is>
          <t>Should be &gt; 0.99 for good data</t>
        </is>
      </c>
    </row>
    <row r="57">
      <c r="A57" s="10" t="inlineStr">
        <is>
          <t>Max KCAS×Δt (raw data):</t>
        </is>
      </c>
      <c r="B57" s="19">
        <f>MAX(H32:H43)</f>
        <v/>
      </c>
      <c r="C57" t="inlineStr">
        <is>
          <t>Sanity check: Vbg should be near the max row</t>
        </is>
      </c>
    </row>
    <row r="59">
      <c r="H59" s="25" t="inlineStr">
        <is>
          <t>Fit line:</t>
        </is>
      </c>
      <c r="I59" s="18">
        <f>IF(COUNT(I32:I43)&gt;1,B47*MIN(J32:J43)+B48,"")</f>
        <v/>
      </c>
      <c r="J59" s="19">
        <f>IF(COUNT(J32:J43)&gt;1,MIN(J32:J43),"")</f>
        <v/>
      </c>
    </row>
    <row r="60">
      <c r="I60" s="18">
        <f>IF(COUNT(I32:I43)&gt;1,B47*MAX(J32:J43)+B48,"")</f>
        <v/>
      </c>
      <c r="J60" s="19">
        <f>IF(COUNT(J32:J43)&gt;1,MAX(J32:J43),"")</f>
        <v/>
      </c>
    </row>
    <row r="62">
      <c r="A62" s="2" t="inlineStr">
        <is>
          <t>CLIMB TEST RUNS (Validation)</t>
        </is>
      </c>
      <c r="E62" t="inlineStr">
        <is>
          <t>Full power at 2500 RPM, trimmed &amp; stabilized</t>
        </is>
      </c>
    </row>
    <row r="63">
      <c r="A63" s="10" t="inlineStr">
        <is>
          <t>Run #</t>
        </is>
      </c>
      <c r="B63" s="10" t="inlineStr">
        <is>
          <t>Fuel (gal)</t>
        </is>
      </c>
      <c r="C63" s="10" t="inlineStr">
        <is>
          <t>Gross Wt (lbs)</t>
        </is>
      </c>
      <c r="D63" s="10" t="inlineStr">
        <is>
          <t>KIAS</t>
        </is>
      </c>
      <c r="E63" s="10" t="inlineStr">
        <is>
          <t>KCAS</t>
        </is>
      </c>
      <c r="F63" s="10" t="inlineStr">
        <is>
          <t>Δt (sec)</t>
        </is>
      </c>
      <c r="G63" s="10" t="inlineStr">
        <is>
          <t>ROC (fpm)</t>
        </is>
      </c>
      <c r="H63" s="10" t="inlineStr">
        <is>
          <t>RPM</t>
        </is>
      </c>
      <c r="I63" s="10" t="inlineStr">
        <is>
          <t>% Power</t>
        </is>
      </c>
      <c r="J63" s="10" t="inlineStr">
        <is>
          <t>Climb Angle (°)</t>
        </is>
      </c>
    </row>
    <row r="64">
      <c r="A64" s="14" t="n">
        <v>1</v>
      </c>
      <c r="B64" s="7" t="n"/>
      <c r="C64" s="19">
        <f>IF(B64="","",$B$23+$B$24+$B$25+B64*6)</f>
        <v/>
      </c>
      <c r="D64" s="7" t="n"/>
      <c r="E64" s="19">
        <f>IF(D64="","",D64+$B$28)</f>
        <v/>
      </c>
      <c r="F64" s="7" t="n"/>
      <c r="G64" s="19">
        <f>IF(F64="","",IFERROR($B$18/F64*60,""))</f>
        <v/>
      </c>
      <c r="H64" s="7" t="n"/>
      <c r="I64" s="7" t="n"/>
      <c r="J64" s="12">
        <f>IF(OR(D64="",F64=""),"",IFERROR(DEGREES(ATAN(G64/(((E64/SQRT($B$19))/0.5924838)*60))),""))</f>
        <v/>
      </c>
    </row>
    <row r="65">
      <c r="A65" s="14" t="n">
        <v>2</v>
      </c>
      <c r="B65" s="7" t="n"/>
      <c r="C65" s="19">
        <f>IF(B65="","",$B$23+$B$24+$B$25+B65*6)</f>
        <v/>
      </c>
      <c r="D65" s="7" t="n"/>
      <c r="E65" s="19">
        <f>IF(D65="","",D65+$B$28)</f>
        <v/>
      </c>
      <c r="F65" s="7" t="n"/>
      <c r="G65" s="19">
        <f>IF(F65="","",IFERROR($B$18/F65*60,""))</f>
        <v/>
      </c>
      <c r="H65" s="7" t="n"/>
      <c r="I65" s="7" t="n"/>
      <c r="J65" s="12">
        <f>IF(OR(D65="",F65=""),"",IFERROR(DEGREES(ATAN(G65/(((E65/SQRT($B$19))/0.5924838)*60))),""))</f>
        <v/>
      </c>
    </row>
    <row r="66">
      <c r="A66" s="14" t="n">
        <v>3</v>
      </c>
      <c r="B66" s="7" t="n"/>
      <c r="C66" s="19">
        <f>IF(B66="","",$B$23+$B$24+$B$25+B66*6)</f>
        <v/>
      </c>
      <c r="D66" s="7" t="n"/>
      <c r="E66" s="19">
        <f>IF(D66="","",D66+$B$28)</f>
        <v/>
      </c>
      <c r="F66" s="7" t="n"/>
      <c r="G66" s="19">
        <f>IF(F66="","",IFERROR($B$18/F66*60,""))</f>
        <v/>
      </c>
      <c r="H66" s="7" t="n"/>
      <c r="I66" s="7" t="n"/>
      <c r="J66" s="12">
        <f>IF(OR(D66="",F66=""),"",IFERROR(DEGREES(ATAN(G66/(((E66/SQRT($B$19))/0.5924838)*60))),""))</f>
        <v/>
      </c>
    </row>
    <row r="67">
      <c r="A67" s="14" t="n">
        <v>4</v>
      </c>
      <c r="B67" s="7" t="n"/>
      <c r="C67" s="19">
        <f>IF(B67="","",$B$23+$B$24+$B$25+B67*6)</f>
        <v/>
      </c>
      <c r="D67" s="7" t="n"/>
      <c r="E67" s="19">
        <f>IF(D67="","",D67+$B$28)</f>
        <v/>
      </c>
      <c r="F67" s="7" t="n"/>
      <c r="G67" s="19">
        <f>IF(F67="","",IFERROR($B$18/F67*60,""))</f>
        <v/>
      </c>
      <c r="H67" s="7" t="n"/>
      <c r="I67" s="7" t="n"/>
      <c r="J67" s="12">
        <f>IF(OR(D67="",F67=""),"",IFERROR(DEGREES(ATAN(G67/(((E67/SQRT($B$19))/0.5924838)*60))),""))</f>
        <v/>
      </c>
    </row>
    <row r="68">
      <c r="A68" s="14" t="n">
        <v>5</v>
      </c>
      <c r="B68" s="7" t="n"/>
      <c r="C68" s="19">
        <f>IF(B68="","",$B$23+$B$24+$B$25+B68*6)</f>
        <v/>
      </c>
      <c r="D68" s="7" t="n"/>
      <c r="E68" s="19">
        <f>IF(D68="","",D68+$B$28)</f>
        <v/>
      </c>
      <c r="F68" s="7" t="n"/>
      <c r="G68" s="19">
        <f>IF(F68="","",IFERROR($B$18/F68*60,""))</f>
        <v/>
      </c>
      <c r="H68" s="7" t="n"/>
      <c r="I68" s="7" t="n"/>
      <c r="J68" s="12">
        <f>IF(OR(D68="",F68=""),"",IFERROR(DEGREES(ATAN(G68/(((E68/SQRT($B$19))/0.5924838)*60))),""))</f>
        <v/>
      </c>
    </row>
    <row r="69">
      <c r="A69" s="14" t="n">
        <v>6</v>
      </c>
      <c r="B69" s="7" t="n"/>
      <c r="C69" s="19">
        <f>IF(B69="","",$B$23+$B$24+$B$25+B69*6)</f>
        <v/>
      </c>
      <c r="D69" s="7" t="n"/>
      <c r="E69" s="19">
        <f>IF(D69="","",D69+$B$28)</f>
        <v/>
      </c>
      <c r="F69" s="7" t="n"/>
      <c r="G69" s="19">
        <f>IF(F69="","",IFERROR($B$18/F69*60,""))</f>
        <v/>
      </c>
      <c r="H69" s="7" t="n"/>
      <c r="I69" s="7" t="n"/>
      <c r="J69" s="12">
        <f>IF(OR(D69="",F69=""),"",IFERROR(DEGREES(ATAN(G69/(((E69/SQRT($B$19))/0.5924838)*60))),""))</f>
        <v/>
      </c>
    </row>
    <row r="70">
      <c r="A70" s="14" t="n">
        <v>7</v>
      </c>
      <c r="B70" s="7" t="n"/>
      <c r="C70" s="19">
        <f>IF(B70="","",$B$23+$B$24+$B$25+B70*6)</f>
        <v/>
      </c>
      <c r="D70" s="7" t="n"/>
      <c r="E70" s="19">
        <f>IF(D70="","",D70+$B$28)</f>
        <v/>
      </c>
      <c r="F70" s="7" t="n"/>
      <c r="G70" s="19">
        <f>IF(F70="","",IFERROR($B$18/F70*60,""))</f>
        <v/>
      </c>
      <c r="H70" s="7" t="n"/>
      <c r="I70" s="7" t="n"/>
      <c r="J70" s="12">
        <f>IF(OR(D70="",F70=""),"",IFERROR(DEGREES(ATAN(G70/(((E70/SQRT($B$19))/0.5924838)*60))),""))</f>
        <v/>
      </c>
    </row>
    <row r="71">
      <c r="A71" s="14" t="n">
        <v>8</v>
      </c>
      <c r="B71" s="7" t="n"/>
      <c r="C71" s="19">
        <f>IF(B71="","",$B$23+$B$24+$B$25+B71*6)</f>
        <v/>
      </c>
      <c r="D71" s="7" t="n"/>
      <c r="E71" s="19">
        <f>IF(D71="","",D71+$B$28)</f>
        <v/>
      </c>
      <c r="F71" s="7" t="n"/>
      <c r="G71" s="19">
        <f>IF(F71="","",IFERROR($B$18/F71*60,""))</f>
        <v/>
      </c>
      <c r="H71" s="7" t="n"/>
      <c r="I71" s="7" t="n"/>
      <c r="J71" s="12">
        <f>IF(OR(D71="",F71=""),"",IFERROR(DEGREES(ATAN(G71/(((E71/SQRT($B$19))/0.5924838)*60))),""))</f>
        <v/>
      </c>
    </row>
    <row r="72">
      <c r="A72" s="14" t="n">
        <v>9</v>
      </c>
      <c r="B72" s="7" t="n"/>
      <c r="C72" s="19">
        <f>IF(B72="","",$B$23+$B$24+$B$25+B72*6)</f>
        <v/>
      </c>
      <c r="D72" s="7" t="n"/>
      <c r="E72" s="19">
        <f>IF(D72="","",D72+$B$28)</f>
        <v/>
      </c>
      <c r="F72" s="7" t="n"/>
      <c r="G72" s="19">
        <f>IF(F72="","",IFERROR($B$18/F72*60,""))</f>
        <v/>
      </c>
      <c r="H72" s="7" t="n"/>
      <c r="I72" s="7" t="n"/>
      <c r="J72" s="12">
        <f>IF(OR(D72="",F72=""),"",IFERROR(DEGREES(ATAN(G72/(((E72/SQRT($B$19))/0.5924838)*60))),""))</f>
        <v/>
      </c>
    </row>
    <row r="73">
      <c r="A73" s="14" t="n">
        <v>10</v>
      </c>
      <c r="B73" s="7" t="n"/>
      <c r="C73" s="19">
        <f>IF(B73="","",$B$23+$B$24+$B$25+B73*6)</f>
        <v/>
      </c>
      <c r="D73" s="7" t="n"/>
      <c r="E73" s="19">
        <f>IF(D73="","",D73+$B$28)</f>
        <v/>
      </c>
      <c r="F73" s="7" t="n"/>
      <c r="G73" s="19">
        <f>IF(F73="","",IFERROR($B$18/F73*60,""))</f>
        <v/>
      </c>
      <c r="H73" s="7" t="n"/>
      <c r="I73" s="7" t="n"/>
      <c r="J73" s="12">
        <f>IF(OR(D73="",F73=""),"",IFERROR(DEGREES(ATAN(G73/(((E73/SQRT($B$19))/0.5924838)*60))),""))</f>
        <v/>
      </c>
    </row>
    <row r="74">
      <c r="A74" s="14" t="n">
        <v>11</v>
      </c>
      <c r="B74" s="7" t="n"/>
      <c r="C74" s="19">
        <f>IF(B74="","",$B$23+$B$24+$B$25+B74*6)</f>
        <v/>
      </c>
      <c r="D74" s="7" t="n"/>
      <c r="E74" s="19">
        <f>IF(D74="","",D74+$B$28)</f>
        <v/>
      </c>
      <c r="F74" s="7" t="n"/>
      <c r="G74" s="19">
        <f>IF(F74="","",IFERROR($B$18/F74*60,""))</f>
        <v/>
      </c>
      <c r="H74" s="7" t="n"/>
      <c r="I74" s="7" t="n"/>
      <c r="J74" s="12">
        <f>IF(OR(D74="",F74=""),"",IFERROR(DEGREES(ATAN(G74/(((E74/SQRT($B$19))/0.5924838)*60))),""))</f>
        <v/>
      </c>
    </row>
    <row r="75">
      <c r="A75" s="14" t="n">
        <v>12</v>
      </c>
      <c r="B75" s="7" t="n"/>
      <c r="C75" s="19">
        <f>IF(B75="","",$B$23+$B$24+$B$25+B75*6)</f>
        <v/>
      </c>
      <c r="D75" s="7" t="n"/>
      <c r="E75" s="19">
        <f>IF(D75="","",D75+$B$28)</f>
        <v/>
      </c>
      <c r="F75" s="7" t="n"/>
      <c r="G75" s="19">
        <f>IF(F75="","",IFERROR($B$18/F75*60,""))</f>
        <v/>
      </c>
      <c r="H75" s="7" t="n"/>
      <c r="I75" s="7" t="n"/>
      <c r="J75" s="12">
        <f>IF(OR(D75="",F75=""),"",IFERROR(DEGREES(ATAN(G75/(((E75/SQRT($B$19))/0.5924838)*60))),""))</f>
        <v/>
      </c>
    </row>
    <row r="77">
      <c r="A77" s="2" t="inlineStr">
        <is>
          <t>Climb Test Analysis</t>
        </is>
      </c>
    </row>
    <row r="78">
      <c r="A78" s="10" t="inlineStr">
        <is>
          <t>Best ROC speed (Vy):</t>
        </is>
      </c>
      <c r="B78" s="22">
        <f>IFERROR(INDEX(E64:E75,MATCH(MAX(G64:G75),G64:G75,0)),"")</f>
        <v/>
      </c>
      <c r="C78" s="10" t="inlineStr">
        <is>
          <t>KCAS</t>
        </is>
      </c>
      <c r="D78" t="inlineStr">
        <is>
          <t>KCAS at max ROC</t>
        </is>
      </c>
    </row>
    <row r="79">
      <c r="A79" s="10" t="inlineStr">
        <is>
          <t>Max ROC:</t>
        </is>
      </c>
      <c r="B79" s="22">
        <f>IFERROR(MAX(G64:G75),"")</f>
        <v/>
      </c>
      <c r="C79" s="10" t="inlineStr">
        <is>
          <t>ft/min</t>
        </is>
      </c>
    </row>
    <row r="80">
      <c r="A80" s="10" t="inlineStr">
        <is>
          <t>Best climb angle speed (Vx):</t>
        </is>
      </c>
      <c r="B80" s="22">
        <f>IFERROR(INDEX(E64:E75,MATCH(MAX(J64:J75),J64:J75,0)),"")</f>
        <v/>
      </c>
      <c r="C80" s="10" t="inlineStr">
        <is>
          <t>KCAS</t>
        </is>
      </c>
      <c r="D80" t="inlineStr">
        <is>
          <t>KCAS at max climb angle</t>
        </is>
      </c>
    </row>
    <row r="81">
      <c r="A81" s="10" t="inlineStr">
        <is>
          <t>Max climb angle:</t>
        </is>
      </c>
      <c r="B81" s="16">
        <f>IFERROR(MAX(J64:J75),"")</f>
        <v/>
      </c>
      <c r="C81" s="10" t="inlineStr">
        <is>
          <t>degrees</t>
        </is>
      </c>
    </row>
    <row r="83">
      <c r="A83" t="inlineStr">
        <is>
          <t>Compare these against bootstrap predictions:</t>
        </is>
      </c>
      <c r="D83" t="inlineStr">
        <is>
          <t>Run the Clojure calculator at the same W, h, RPM, % power</t>
        </is>
      </c>
    </row>
  </sheetData>
  <mergeCells count="2">
    <mergeCell ref="A2:H2"/>
    <mergeCell ref="A1:H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0" customWidth="1" min="1" max="1"/>
    <col width="18" customWidth="1" min="2" max="2"/>
    <col width="14" customWidth="1" min="3" max="3"/>
    <col width="40" customWidth="1" min="4" max="4"/>
  </cols>
  <sheetData>
    <row r="1">
      <c r="A1" s="1" t="inlineStr">
        <is>
          <t>Bootstrap Data Plate</t>
        </is>
      </c>
    </row>
    <row r="2">
      <c r="A2" t="inlineStr">
        <is>
          <t>Yellow = manual inputs. Green = computed from other tabs. Copy the Clojure map below into your code.</t>
        </is>
      </c>
    </row>
    <row r="4">
      <c r="A4" s="10" t="inlineStr">
        <is>
          <t>Parameter</t>
        </is>
      </c>
      <c r="B4" s="10" t="inlineStr">
        <is>
          <t>Value</t>
        </is>
      </c>
      <c r="C4" s="10" t="inlineStr">
        <is>
          <t>Units</t>
        </is>
      </c>
      <c r="D4" s="10" t="inlineStr">
        <is>
          <t>Source</t>
        </is>
      </c>
    </row>
    <row r="5">
      <c r="A5" s="10" t="inlineStr">
        <is>
          <t>S (wing area)</t>
        </is>
      </c>
      <c r="B5" s="26" t="n">
        <v>174</v>
      </c>
      <c r="C5" s="14" t="inlineStr">
        <is>
          <t>ft²</t>
        </is>
      </c>
      <c r="D5" s="14" t="inlineStr">
        <is>
          <t>POH / plans</t>
        </is>
      </c>
    </row>
    <row r="6">
      <c r="A6" s="10" t="inlineStr">
        <is>
          <t>B (wing span)</t>
        </is>
      </c>
      <c r="B6" s="26" t="n">
        <v>36</v>
      </c>
      <c r="C6" s="14" t="inlineStr">
        <is>
          <t>ft</t>
        </is>
      </c>
      <c r="D6" s="14" t="inlineStr">
        <is>
          <t>POH / plans</t>
        </is>
      </c>
    </row>
    <row r="7">
      <c r="A7" s="10" t="inlineStr">
        <is>
          <t>P0 (rated power)</t>
        </is>
      </c>
      <c r="B7" s="26" t="n">
        <v>235</v>
      </c>
      <c r="C7" s="14" t="inlineStr">
        <is>
          <t>hp</t>
        </is>
      </c>
      <c r="D7" s="14" t="inlineStr">
        <is>
          <t>POH</t>
        </is>
      </c>
    </row>
    <row r="8">
      <c r="A8" s="10" t="inlineStr">
        <is>
          <t>N0 (rated RPM)</t>
        </is>
      </c>
      <c r="B8" s="26" t="n">
        <v>2400</v>
      </c>
      <c r="C8" s="14" t="inlineStr">
        <is>
          <t>RPM</t>
        </is>
      </c>
      <c r="D8" s="14" t="inlineStr">
        <is>
          <t>POH</t>
        </is>
      </c>
    </row>
    <row r="9">
      <c r="A9" s="10" t="inlineStr">
        <is>
          <t>d (prop diameter)</t>
        </is>
      </c>
      <c r="B9" s="26" t="n">
        <v>6.83</v>
      </c>
      <c r="C9" s="14" t="inlineStr">
        <is>
          <t>ft</t>
        </is>
      </c>
      <c r="D9" s="14" t="inlineStr">
        <is>
          <t>Measurement</t>
        </is>
      </c>
    </row>
    <row r="10">
      <c r="A10" s="10" t="inlineStr">
        <is>
          <t>CD0</t>
        </is>
      </c>
      <c r="B10" s="23">
        <f>'Flight Tests → CD0, e'!B53</f>
        <v/>
      </c>
      <c r="C10" s="14" t="inlineStr"/>
      <c r="D10" s="14" t="inlineStr">
        <is>
          <t>Tab 2 (curve fit)</t>
        </is>
      </c>
    </row>
    <row r="11">
      <c r="A11" s="10" t="inlineStr">
        <is>
          <t>e</t>
        </is>
      </c>
      <c r="B11" s="23">
        <f>'Flight Tests → CD0, e'!B54</f>
        <v/>
      </c>
      <c r="C11" s="14" t="inlineStr"/>
      <c r="D11" s="14" t="inlineStr">
        <is>
          <t>Tab 2 (curve fit)</t>
        </is>
      </c>
    </row>
    <row r="12">
      <c r="A12" s="10" t="inlineStr">
        <is>
          <t>TAF</t>
        </is>
      </c>
      <c r="B12" s="16">
        <f>'Prop Blade → TAF'!B32</f>
        <v/>
      </c>
      <c r="C12" s="14" t="inlineStr"/>
      <c r="D12" s="14" t="inlineStr">
        <is>
          <t>Tab 1 (prop measurement)</t>
        </is>
      </c>
    </row>
    <row r="13">
      <c r="A13" s="10" t="inlineStr">
        <is>
          <t>Z (fuselage dia / prop dia)</t>
        </is>
      </c>
      <c r="B13" s="26" t="n">
        <v>0.6879999999999999</v>
      </c>
      <c r="C13" s="14" t="inlineStr"/>
      <c r="D13" s="14" t="inlineStr">
        <is>
          <t>Measurement: fuse_dia / prop_dia</t>
        </is>
      </c>
    </row>
    <row r="14">
      <c r="A14" s="10" t="inlineStr">
        <is>
          <t>Tractor? (1=yes, 0=no)</t>
        </is>
      </c>
      <c r="B14" s="26" t="n">
        <v>1</v>
      </c>
      <c r="C14" s="14" t="inlineStr"/>
      <c r="D14" s="14" t="inlineStr">
        <is>
          <t>Configuration</t>
        </is>
      </c>
    </row>
    <row r="15">
      <c r="A15" s="10" t="inlineStr">
        <is>
          <t>BB (num blades)</t>
        </is>
      </c>
      <c r="B15" s="26" t="n">
        <v>2</v>
      </c>
      <c r="C15" s="14" t="inlineStr"/>
      <c r="D15" s="14" t="inlineStr">
        <is>
          <t>Observation</t>
        </is>
      </c>
    </row>
    <row r="16">
      <c r="A16" s="10" t="inlineStr">
        <is>
          <t>C (power dropoff)</t>
        </is>
      </c>
      <c r="B16" s="26" t="n">
        <v>0.12</v>
      </c>
      <c r="C16" s="14" t="inlineStr"/>
      <c r="D16" s="14" t="inlineStr">
        <is>
          <t>Typical normally-aspirated: 0.12</t>
        </is>
      </c>
    </row>
    <row r="17">
      <c r="A17" s="10" t="inlineStr">
        <is>
          <t>X (power adj. factor)</t>
        </is>
      </c>
      <c r="B17" s="17">
        <f>0.001515*B12-0.0880</f>
        <v/>
      </c>
      <c r="C17" s="14" t="inlineStr"/>
      <c r="D17" s="14" t="inlineStr">
        <is>
          <t>Eq 6.57: X = 0.001515 × TAF - 0.0880</t>
        </is>
      </c>
    </row>
    <row r="18">
      <c r="A18" s="10" t="inlineStr">
        <is>
          <t>A (aspect ratio)</t>
        </is>
      </c>
      <c r="B18" s="18">
        <f>B6^2/B5</f>
        <v/>
      </c>
      <c r="C18" s="14" t="inlineStr"/>
      <c r="D18" s="14" t="inlineStr">
        <is>
          <t>B² / S</t>
        </is>
      </c>
    </row>
    <row r="20">
      <c r="A20" s="2" t="inlineStr">
        <is>
          <t>Clojure Data Plate (copy-paste):</t>
        </is>
      </c>
    </row>
    <row r="21">
      <c r="A21" s="27" t="inlineStr">
        <is>
          <t>{:S</t>
        </is>
      </c>
      <c r="B21" s="27">
        <f>TEXT(B5,"0.0")</f>
        <v/>
      </c>
      <c r="C21" s="27" t="inlineStr">
        <is>
          <t xml:space="preserve">  ;; wing area, ft²</t>
        </is>
      </c>
    </row>
    <row r="22">
      <c r="A22" s="27" t="inlineStr">
        <is>
          <t xml:space="preserve"> :B</t>
        </is>
      </c>
      <c r="B22" s="27">
        <f>TEXT(B6,"0.0")</f>
        <v/>
      </c>
      <c r="C22" s="27" t="inlineStr">
        <is>
          <t xml:space="preserve">  ;; wing span, ft</t>
        </is>
      </c>
    </row>
    <row r="23">
      <c r="A23" s="27" t="inlineStr">
        <is>
          <t xml:space="preserve"> :P0</t>
        </is>
      </c>
      <c r="B23" s="27">
        <f>TEXT(B7,"0.0")</f>
        <v/>
      </c>
      <c r="C23" s="27" t="inlineStr">
        <is>
          <t xml:space="preserve">  ;; rated MSL power, hp</t>
        </is>
      </c>
    </row>
    <row r="24">
      <c r="A24" s="27" t="inlineStr">
        <is>
          <t xml:space="preserve"> :N0</t>
        </is>
      </c>
      <c r="B24" s="27">
        <f>TEXT(B8,"0")</f>
        <v/>
      </c>
      <c r="C24" s="27" t="inlineStr">
        <is>
          <t xml:space="preserve">  ;; rated RPM</t>
        </is>
      </c>
    </row>
    <row r="25">
      <c r="A25" s="27" t="inlineStr">
        <is>
          <t xml:space="preserve"> :d</t>
        </is>
      </c>
      <c r="B25" s="27">
        <f>TEXT(B9,"0.000")</f>
        <v/>
      </c>
      <c r="C25" s="27" t="inlineStr">
        <is>
          <t xml:space="preserve">  ;; prop diameter, ft</t>
        </is>
      </c>
    </row>
    <row r="26">
      <c r="A26" s="27" t="inlineStr">
        <is>
          <t xml:space="preserve"> :CD0</t>
        </is>
      </c>
      <c r="B26" s="27">
        <f>TEXT(B10,"0.00000")</f>
        <v/>
      </c>
      <c r="C26" s="27" t="inlineStr">
        <is>
          <t xml:space="preserve">  ;; parasite drag coefficient</t>
        </is>
      </c>
    </row>
    <row r="27">
      <c r="A27" s="27" t="inlineStr">
        <is>
          <t xml:space="preserve"> :e</t>
        </is>
      </c>
      <c r="B27" s="27">
        <f>TEXT(B11,"0.000")</f>
        <v/>
      </c>
      <c r="C27" s="27" t="inlineStr">
        <is>
          <t xml:space="preserve">  ;; airplane efficiency factor</t>
        </is>
      </c>
    </row>
    <row r="28">
      <c r="A28" s="27" t="inlineStr">
        <is>
          <t xml:space="preserve"> :TAF</t>
        </is>
      </c>
      <c r="B28" s="27">
        <f>TEXT(B12,"0.0")</f>
        <v/>
      </c>
      <c r="C28" s="27" t="inlineStr">
        <is>
          <t xml:space="preserve">  ;; total activity factor</t>
        </is>
      </c>
    </row>
    <row r="29">
      <c r="A29" s="27" t="inlineStr">
        <is>
          <t xml:space="preserve"> :Z</t>
        </is>
      </c>
      <c r="B29" s="27">
        <f>TEXT(B13,"0.000")</f>
        <v/>
      </c>
      <c r="C29" s="27" t="inlineStr">
        <is>
          <t xml:space="preserve">  ;; fuselage dia / prop dia</t>
        </is>
      </c>
    </row>
    <row r="30">
      <c r="A30" s="27" t="inlineStr">
        <is>
          <t xml:space="preserve"> :tractor?</t>
        </is>
      </c>
      <c r="B30" s="27">
        <f>IF(B14=1,"true","false")</f>
        <v/>
      </c>
      <c r="C30" s="27" t="inlineStr"/>
    </row>
    <row r="31">
      <c r="A31" s="27" t="inlineStr">
        <is>
          <t xml:space="preserve"> :BB</t>
        </is>
      </c>
      <c r="B31" s="27">
        <f>TEXT(B15,"0")</f>
        <v/>
      </c>
      <c r="C31" s="27" t="inlineStr">
        <is>
          <t xml:space="preserve">  ;; number of blades</t>
        </is>
      </c>
    </row>
    <row r="32">
      <c r="A32" s="27" t="inlineStr">
        <is>
          <t xml:space="preserve"> :C</t>
        </is>
      </c>
      <c r="B32" s="27">
        <f>TEXT(B16,"0.00")</f>
        <v/>
      </c>
      <c r="C32" s="27" t="inlineStr">
        <is>
          <t>}  ;; altitude power dropoff</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55"/>
  <sheetViews>
    <sheetView workbookViewId="0">
      <selection activeCell="A1" sqref="A1"/>
    </sheetView>
  </sheetViews>
  <sheetFormatPr baseColWidth="8" defaultRowHeight="15"/>
  <cols>
    <col width="26" customWidth="1" min="1" max="1"/>
    <col width="1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1" t="inlineStr">
        <is>
          <t>Performance Calculator — Bootstrap Method</t>
        </is>
      </c>
    </row>
    <row r="2">
      <c r="A2" t="inlineStr">
        <is>
          <t>Yellow = inputs. Blue = computed. Green = results. Change data plate and operational variables to recompute.</t>
        </is>
      </c>
    </row>
    <row r="4">
      <c r="A4" s="2" t="inlineStr">
        <is>
          <t>GAGPC Polynomial Coefficients</t>
        </is>
      </c>
      <c r="F4" t="inlineStr">
        <is>
          <t>(8 columns × 7 coefficients — Boeing/Uddenberg propeller data)</t>
        </is>
      </c>
    </row>
    <row r="5">
      <c r="A5" s="10" t="inlineStr">
        <is>
          <t>CPX →</t>
        </is>
      </c>
      <c r="C5" s="12" t="n">
        <v>0.15</v>
      </c>
      <c r="D5" s="12" t="n">
        <v>0.25</v>
      </c>
      <c r="E5" s="12" t="n">
        <v>0.4</v>
      </c>
      <c r="F5" s="12" t="n">
        <v>0.6</v>
      </c>
      <c r="G5" s="12" t="n">
        <v>0.8</v>
      </c>
      <c r="H5" s="12" t="n">
        <v>1</v>
      </c>
      <c r="I5" s="12" t="n">
        <v>1.2</v>
      </c>
      <c r="J5" s="12" t="n">
        <v>1.4</v>
      </c>
    </row>
    <row r="6">
      <c r="A6" s="10" t="inlineStr">
        <is>
          <t>c0</t>
        </is>
      </c>
      <c r="B6" s="14" t="inlineStr">
        <is>
          <t>(constant)</t>
        </is>
      </c>
      <c r="C6" s="28" t="n">
        <v>-0.027280541925</v>
      </c>
      <c r="D6" s="28" t="n">
        <v>-0.038502996895</v>
      </c>
      <c r="E6" s="28" t="n">
        <v>-0.026741905</v>
      </c>
      <c r="F6" s="28" t="n">
        <v>0.038100252152</v>
      </c>
      <c r="G6" s="28" t="n">
        <v>0.251897476</v>
      </c>
      <c r="H6" s="28" t="n">
        <v>0.140144145675</v>
      </c>
      <c r="I6" s="28" t="n">
        <v>-0.70560405</v>
      </c>
      <c r="J6" s="28" t="n">
        <v>-2.340532183939</v>
      </c>
    </row>
    <row r="7">
      <c r="A7" s="10" t="inlineStr">
        <is>
          <t>c1</t>
        </is>
      </c>
      <c r="B7" s="14" t="inlineStr">
        <is>
          <t>(h)</t>
        </is>
      </c>
      <c r="C7" s="28" t="n">
        <v>1.157818942224</v>
      </c>
      <c r="D7" s="28" t="n">
        <v>1.046135815788</v>
      </c>
      <c r="E7" s="28" t="n">
        <v>0.7175824135</v>
      </c>
      <c r="F7" s="28" t="n">
        <v>0.19952245559</v>
      </c>
      <c r="G7" s="28" t="n">
        <v>-0.56166584</v>
      </c>
      <c r="H7" s="28" t="n">
        <v>0.071636129794</v>
      </c>
      <c r="I7" s="28" t="n">
        <v>2.868232531</v>
      </c>
      <c r="J7" s="28" t="n">
        <v>7.56393789715</v>
      </c>
    </row>
    <row r="8">
      <c r="A8" s="10" t="inlineStr">
        <is>
          <t>c2</t>
        </is>
      </c>
      <c r="B8" s="14" t="inlineStr">
        <is>
          <t>(h²)</t>
        </is>
      </c>
      <c r="C8" s="28" t="n">
        <v>-0.5489231230129999</v>
      </c>
      <c r="D8" s="28" t="n">
        <v>-0.485313329667</v>
      </c>
      <c r="E8" s="28" t="n">
        <v>-0.08467334999999999</v>
      </c>
      <c r="F8" s="28" t="n">
        <v>0.458898025445</v>
      </c>
      <c r="G8" s="28" t="n">
        <v>1.13905513</v>
      </c>
      <c r="H8" s="28" t="n">
        <v>-0.057356417627</v>
      </c>
      <c r="I8" s="28" t="n">
        <v>-3.651371295</v>
      </c>
      <c r="J8" s="28" t="n">
        <v>-9.020964992474999</v>
      </c>
    </row>
    <row r="9">
      <c r="A9" s="10" t="inlineStr">
        <is>
          <t>c3</t>
        </is>
      </c>
      <c r="B9" s="14" t="inlineStr">
        <is>
          <t>(h³)</t>
        </is>
      </c>
      <c r="C9" s="28" t="n">
        <v>0.038551650269</v>
      </c>
      <c r="D9" s="28" t="n">
        <v>0.130100232509</v>
      </c>
      <c r="E9" s="28" t="n">
        <v>-0.07445168000000001</v>
      </c>
      <c r="F9" s="28" t="n">
        <v>-0.318992736679</v>
      </c>
      <c r="G9" s="28" t="n">
        <v>-0.60219333</v>
      </c>
      <c r="H9" s="28" t="n">
        <v>0.276378945894</v>
      </c>
      <c r="I9" s="28" t="n">
        <v>2.487262933</v>
      </c>
      <c r="J9" s="28" t="n">
        <v>5.550045133294</v>
      </c>
    </row>
    <row r="10">
      <c r="A10" s="10" t="inlineStr">
        <is>
          <t>c4</t>
        </is>
      </c>
      <c r="B10" s="14" t="inlineStr">
        <is>
          <t>(h⁴)</t>
        </is>
      </c>
      <c r="C10" s="28" t="n">
        <v>0.06458055527999999</v>
      </c>
      <c r="D10" s="28" t="n">
        <v>-0.027326610124</v>
      </c>
      <c r="E10" s="28" t="n">
        <v>0.026437051</v>
      </c>
      <c r="F10" s="28" t="n">
        <v>0.081357821405</v>
      </c>
      <c r="G10" s="28" t="n">
        <v>0.144341736</v>
      </c>
      <c r="H10" s="28" t="n">
        <v>-0.159843307011</v>
      </c>
      <c r="I10" s="28" t="n">
        <v>-0.8634212</v>
      </c>
      <c r="J10" s="28" t="n">
        <v>-1.793776917489</v>
      </c>
    </row>
    <row r="11">
      <c r="A11" s="10" t="inlineStr">
        <is>
          <t>c5</t>
        </is>
      </c>
      <c r="B11" s="14" t="inlineStr">
        <is>
          <t>(h⁵)</t>
        </is>
      </c>
      <c r="C11" s="28" t="n">
        <v>-0.026301243311</v>
      </c>
      <c r="D11" s="28" t="n">
        <v>0.003139013961</v>
      </c>
      <c r="E11" s="28" t="n">
        <v>-0.003537565</v>
      </c>
      <c r="F11" s="28" t="n">
        <v>-0.009083801712</v>
      </c>
      <c r="G11" s="28" t="n">
        <v>-0.01619473</v>
      </c>
      <c r="H11" s="28" t="n">
        <v>0.034239846258</v>
      </c>
      <c r="I11" s="28" t="n">
        <v>0.1464783315</v>
      </c>
      <c r="J11" s="28" t="n">
        <v>0.291020480454</v>
      </c>
    </row>
    <row r="12">
      <c r="A12" s="10" t="inlineStr">
        <is>
          <t>c6</t>
        </is>
      </c>
      <c r="B12" s="14" t="inlineStr">
        <is>
          <t>(h⁶)</t>
        </is>
      </c>
      <c r="C12" s="28" t="n">
        <v>0.003017419881</v>
      </c>
      <c r="D12" s="28" t="n">
        <v>-0.000131566345</v>
      </c>
      <c r="E12" s="28" t="n">
        <v>0.000177733</v>
      </c>
      <c r="F12" s="28" t="n">
        <v>0.000350613126</v>
      </c>
      <c r="G12" s="28" t="n">
        <v>0.000664038</v>
      </c>
      <c r="H12" s="28" t="n">
        <v>-0.002573002786</v>
      </c>
      <c r="I12" s="28" t="n">
        <v>-0.009686854999999999</v>
      </c>
      <c r="J12" s="28" t="n">
        <v>-0.018743169313</v>
      </c>
    </row>
    <row r="14">
      <c r="A14" s="2" t="inlineStr">
        <is>
          <t>Slow-Down Factor (SDF) Coefficients</t>
        </is>
      </c>
      <c r="F14" t="inlineStr">
        <is>
          <t>Cubic polynomial in Z (Lowry Eq. 6.58/6.59)</t>
        </is>
      </c>
    </row>
    <row r="15">
      <c r="A15" s="10" t="inlineStr">
        <is>
          <t>Tractor:</t>
        </is>
      </c>
      <c r="B15" s="13" t="n">
        <v>1.05263</v>
      </c>
      <c r="C15" s="13" t="n">
        <v>-0.00722</v>
      </c>
      <c r="D15" s="13" t="n">
        <v>-0.16462</v>
      </c>
      <c r="E15" s="13" t="n">
        <v>-0.18341</v>
      </c>
    </row>
    <row r="16">
      <c r="A16" s="10" t="inlineStr">
        <is>
          <t>Pusher:</t>
        </is>
      </c>
      <c r="B16" s="13" t="n">
        <v>1.05263</v>
      </c>
      <c r="C16" s="13" t="n">
        <v>-0.04185</v>
      </c>
      <c r="D16" s="13" t="n">
        <v>-0.01481</v>
      </c>
      <c r="E16" s="13" t="n">
        <v>-0.62001</v>
      </c>
    </row>
    <row r="18">
      <c r="A18" s="2" t="inlineStr">
        <is>
          <t>Aircraft Data Plate</t>
        </is>
      </c>
      <c r="D18" t="inlineStr">
        <is>
          <t>(linked from Data Plate tab)</t>
        </is>
      </c>
    </row>
    <row r="19">
      <c r="A19" s="10" t="inlineStr">
        <is>
          <t>S (wing area)</t>
        </is>
      </c>
      <c r="B19" s="22">
        <f>'Data Plate'!B5</f>
        <v/>
      </c>
      <c r="C19" t="inlineStr">
        <is>
          <t>ft²</t>
        </is>
      </c>
    </row>
    <row r="20">
      <c r="A20" s="10" t="inlineStr">
        <is>
          <t>B (wing span)</t>
        </is>
      </c>
      <c r="B20" s="22">
        <f>'Data Plate'!B6</f>
        <v/>
      </c>
      <c r="C20" t="inlineStr">
        <is>
          <t>ft</t>
        </is>
      </c>
    </row>
    <row r="21">
      <c r="A21" s="10" t="inlineStr">
        <is>
          <t>P0 (rated power)</t>
        </is>
      </c>
      <c r="B21" s="22">
        <f>'Data Plate'!B7</f>
        <v/>
      </c>
      <c r="C21" t="inlineStr">
        <is>
          <t>hp</t>
        </is>
      </c>
    </row>
    <row r="22">
      <c r="A22" s="10" t="inlineStr">
        <is>
          <t>N0 (rated RPM)</t>
        </is>
      </c>
      <c r="B22" s="29">
        <f>'Data Plate'!B8</f>
        <v/>
      </c>
      <c r="C22" t="inlineStr">
        <is>
          <t>RPM</t>
        </is>
      </c>
    </row>
    <row r="23">
      <c r="A23" s="10" t="inlineStr">
        <is>
          <t>d (prop diameter)</t>
        </is>
      </c>
      <c r="B23" s="24">
        <f>'Data Plate'!B9</f>
        <v/>
      </c>
      <c r="C23" t="inlineStr">
        <is>
          <t>ft</t>
        </is>
      </c>
    </row>
    <row r="24">
      <c r="A24" s="10" t="inlineStr">
        <is>
          <t>CD0</t>
        </is>
      </c>
      <c r="B24" s="23">
        <f>'Data Plate'!B10</f>
        <v/>
      </c>
    </row>
    <row r="25">
      <c r="A25" s="10" t="inlineStr">
        <is>
          <t>e</t>
        </is>
      </c>
      <c r="B25" s="24">
        <f>'Data Plate'!B11</f>
        <v/>
      </c>
    </row>
    <row r="26">
      <c r="A26" s="10" t="inlineStr">
        <is>
          <t>TAF</t>
        </is>
      </c>
      <c r="B26" s="22">
        <f>'Data Plate'!B12</f>
        <v/>
      </c>
    </row>
    <row r="27">
      <c r="A27" s="10" t="inlineStr">
        <is>
          <t>Z (fuse dia / prop dia)</t>
        </is>
      </c>
      <c r="B27" s="24">
        <f>'Data Plate'!B13</f>
        <v/>
      </c>
    </row>
    <row r="28">
      <c r="A28" s="10" t="inlineStr">
        <is>
          <t>Tractor? (1=yes, 0=no)</t>
        </is>
      </c>
      <c r="B28" s="29">
        <f>'Data Plate'!B14</f>
        <v/>
      </c>
    </row>
    <row r="29">
      <c r="A29" s="10" t="inlineStr">
        <is>
          <t>BB (num blades)</t>
        </is>
      </c>
      <c r="B29" s="29">
        <f>'Data Plate'!B15</f>
        <v/>
      </c>
    </row>
    <row r="30">
      <c r="A30" s="10" t="inlineStr">
        <is>
          <t>C (power dropoff)</t>
        </is>
      </c>
      <c r="B30" s="16">
        <f>'Data Plate'!B16</f>
        <v/>
      </c>
    </row>
    <row r="32">
      <c r="A32" s="2" t="inlineStr">
        <is>
          <t>Operational Variables</t>
        </is>
      </c>
      <c r="D32" t="inlineStr">
        <is>
          <t>(change these to explore different conditions)</t>
        </is>
      </c>
    </row>
    <row r="33">
      <c r="A33" s="10" t="inlineStr">
        <is>
          <t>W (gross weight)</t>
        </is>
      </c>
      <c r="B33" s="30" t="n">
        <v>3100</v>
      </c>
      <c r="C33" t="inlineStr">
        <is>
          <t>lbs</t>
        </is>
      </c>
    </row>
    <row r="34">
      <c r="A34" s="10" t="inlineStr">
        <is>
          <t>h (density alt)</t>
        </is>
      </c>
      <c r="B34" s="31" t="n">
        <v>8000</v>
      </c>
      <c r="C34" t="inlineStr">
        <is>
          <t>ft</t>
        </is>
      </c>
    </row>
    <row r="35">
      <c r="A35" s="10" t="inlineStr">
        <is>
          <t>N (RPM)</t>
        </is>
      </c>
      <c r="B35" s="31" t="n">
        <v>2300</v>
      </c>
    </row>
    <row r="36">
      <c r="A36" s="10" t="inlineStr">
        <is>
          <t>% Power (0–1)</t>
        </is>
      </c>
      <c r="B36" s="26" t="n">
        <v>0.65</v>
      </c>
    </row>
    <row r="38">
      <c r="A38" s="2" t="inlineStr">
        <is>
          <t>Computed Constants</t>
        </is>
      </c>
    </row>
    <row r="39">
      <c r="A39" s="10" t="inlineStr">
        <is>
          <t>σ (density ratio)</t>
        </is>
      </c>
      <c r="B39" s="15">
        <f>(1-0.003566*B34/518.7)^(1/0.234957)</f>
        <v/>
      </c>
      <c r="C39" t="inlineStr">
        <is>
          <t>(1 - lapse·h/T₀)^(1/0.235)</t>
        </is>
      </c>
    </row>
    <row r="40">
      <c r="A40" s="10" t="inlineStr">
        <is>
          <t>ρ (slug/ft³)</t>
        </is>
      </c>
      <c r="B40" s="20">
        <f>0.002377*B39</f>
        <v/>
      </c>
    </row>
    <row r="41">
      <c r="A41" s="10" t="inlineStr">
        <is>
          <t>φ (power lapse)</t>
        </is>
      </c>
      <c r="B41" s="15">
        <f>(B39-B30)/(1-B30)</f>
        <v/>
      </c>
      <c r="C41" t="inlineStr">
        <is>
          <t>Gagg-Ferrar: (σ - C)/(1 - C)</t>
        </is>
      </c>
    </row>
    <row r="42">
      <c r="A42" s="10" t="inlineStr">
        <is>
          <t>X (power adj. factor)</t>
        </is>
      </c>
      <c r="B42" s="15">
        <f>0.001515*B26-0.0880</f>
        <v/>
      </c>
      <c r="C42" t="inlineStr">
        <is>
          <t>Eq 6.57</t>
        </is>
      </c>
    </row>
    <row r="43">
      <c r="A43" s="10" t="inlineStr">
        <is>
          <t>A (aspect ratio)</t>
        </is>
      </c>
      <c r="B43" s="18">
        <f>B20^2/B19</f>
        <v/>
      </c>
      <c r="C43" t="inlineStr">
        <is>
          <t>B² / S</t>
        </is>
      </c>
    </row>
    <row r="44">
      <c r="A44" s="10" t="inlineStr">
        <is>
          <t>SDF</t>
        </is>
      </c>
      <c r="B44" s="18">
        <f>IF(B28=1,B15+C15*B27+D15*B27^2+E15*B27^3,B16+C16*B27+D16*B27^2+E16*B27^3)</f>
        <v/>
      </c>
      <c r="C44" t="inlineStr">
        <is>
          <t>Eq 6.58/6.59</t>
        </is>
      </c>
    </row>
    <row r="45">
      <c r="A45" s="10" t="inlineStr">
        <is>
          <t>P (ft·lbf/s)</t>
        </is>
      </c>
      <c r="B45" s="19">
        <f>B36*B21*550</f>
        <v/>
      </c>
      <c r="C45" t="inlineStr">
        <is>
          <t>%power × P₀ × 550</t>
        </is>
      </c>
    </row>
    <row r="46">
      <c r="A46" s="10" t="inlineStr">
        <is>
          <t>n (rev/s)</t>
        </is>
      </c>
      <c r="B46" s="18">
        <f>B35/60</f>
        <v/>
      </c>
      <c r="C46" t="inlineStr">
        <is>
          <t>N / 60</t>
        </is>
      </c>
    </row>
    <row r="47">
      <c r="A47" s="10" t="inlineStr">
        <is>
          <t>CP (power coeff.)</t>
        </is>
      </c>
      <c r="B47" s="13">
        <f>B45/(B40*B46^3*B23^5)</f>
        <v/>
      </c>
      <c r="C47" t="inlineStr">
        <is>
          <t>P / (ρ·n³·d⁵)</t>
        </is>
      </c>
    </row>
    <row r="48">
      <c r="A48" s="10" t="inlineStr">
        <is>
          <t>CPX</t>
        </is>
      </c>
      <c r="B48" s="15">
        <f>MIN(MAX(B47/B42,0.15),1.40)</f>
        <v/>
      </c>
      <c r="C48" t="inlineStr">
        <is>
          <t>CP / X (clamped to GAGPC range)</t>
        </is>
      </c>
    </row>
    <row r="49">
      <c r="A49" s="10" t="inlineStr">
        <is>
          <t>GAGPC bracket idx</t>
        </is>
      </c>
      <c r="B49" s="32">
        <f>MIN(MATCH(B48,$C$5:$J$5,1),7)</f>
        <v/>
      </c>
      <c r="C49" t="inlineStr">
        <is>
          <t>MATCH position in CPX breakpoints</t>
        </is>
      </c>
    </row>
    <row r="50">
      <c r="A50" s="10" t="inlineStr">
        <is>
          <t>CPX lower</t>
        </is>
      </c>
      <c r="B50" s="12">
        <f>INDEX($C$5:$J$5,1,B49)</f>
        <v/>
      </c>
    </row>
    <row r="51">
      <c r="A51" s="10" t="inlineStr">
        <is>
          <t>CPX upper</t>
        </is>
      </c>
      <c r="B51" s="12">
        <f>INDEX($C$5:$J$5,1,B49+1)</f>
        <v/>
      </c>
    </row>
    <row r="52">
      <c r="A52" s="10" t="inlineStr">
        <is>
          <t>Interp. fraction</t>
        </is>
      </c>
      <c r="B52" s="15">
        <f>(B48-B50)/(B51-B50)</f>
        <v/>
      </c>
      <c r="C52" t="inlineStr">
        <is>
          <t>(CPX - CPX_lo) / (CPX_hi - CPX_lo)</t>
        </is>
      </c>
    </row>
    <row r="54">
      <c r="A54" s="2" t="inlineStr">
        <is>
          <t>Optimum V-Speeds</t>
        </is>
      </c>
    </row>
    <row r="55">
      <c r="A55" s="10" t="inlineStr">
        <is>
          <t>Vy (best ROC):</t>
        </is>
      </c>
      <c r="B55" s="22">
        <f>INDEX(A95:A255,MATCH(MAX(N95:N255),N95:N255,0))</f>
        <v/>
      </c>
      <c r="C55" s="10" t="inlineStr">
        <is>
          <t>KCAS</t>
        </is>
      </c>
      <c r="D55" s="22">
        <f>MAX(N95:N255)</f>
        <v/>
      </c>
      <c r="E55" s="14" t="inlineStr">
        <is>
          <t>ft/min</t>
        </is>
      </c>
    </row>
    <row r="56">
      <c r="A56" s="10" t="inlineStr">
        <is>
          <t>Vx (best AOC):</t>
        </is>
      </c>
      <c r="B56" s="22">
        <f>INDEX(A95:A255,MATCH(MAX(O95:O255),O95:O255,0))</f>
        <v/>
      </c>
      <c r="C56" s="10" t="inlineStr">
        <is>
          <t>KCAS</t>
        </is>
      </c>
      <c r="D56" s="16">
        <f>MAX(O95:O255)</f>
        <v/>
      </c>
      <c r="E56" s="14" t="inlineStr">
        <is>
          <t>degrees</t>
        </is>
      </c>
    </row>
    <row r="57">
      <c r="A57" s="10" t="inlineStr">
        <is>
          <t>Vbg (best glide):</t>
        </is>
      </c>
      <c r="B57" s="22">
        <f>INDEX(A95:A255,MATCH(MIN(Q95:Q255),Q95:Q255,0))</f>
        <v/>
      </c>
      <c r="C57" s="10" t="inlineStr">
        <is>
          <t>KCAS</t>
        </is>
      </c>
      <c r="D57" s="16">
        <f>MIN(Q95:Q255)</f>
        <v/>
      </c>
      <c r="E57" s="14" t="inlineStr">
        <is>
          <t>degrees</t>
        </is>
      </c>
    </row>
    <row r="58">
      <c r="A58" s="10" t="inlineStr">
        <is>
          <t>Vmd (min sink):</t>
        </is>
      </c>
      <c r="B58" s="22">
        <f>INDEX(A95:A255,MATCH(MIN(P95:P255),P95:P255,0))</f>
        <v/>
      </c>
      <c r="C58" s="10" t="inlineStr">
        <is>
          <t>KCAS</t>
        </is>
      </c>
      <c r="D58" s="22">
        <f>MIN(P95:P255)</f>
        <v/>
      </c>
      <c r="E58" s="14" t="inlineStr">
        <is>
          <t>ft/min</t>
        </is>
      </c>
    </row>
    <row r="59">
      <c r="A59" s="10" t="inlineStr">
        <is>
          <t>VM (max level):</t>
        </is>
      </c>
      <c r="B59" s="22">
        <f>MAXIFS(A95:A255,N95:N255,"&gt;0")</f>
        <v/>
      </c>
      <c r="C59" s="10" t="inlineStr">
        <is>
          <t>KCAS</t>
        </is>
      </c>
    </row>
    <row r="61">
      <c r="A61" s="2" t="inlineStr">
        <is>
          <t>Validation: Spreadsheet vs Clojure vs bootstp2.xls</t>
        </is>
      </c>
    </row>
    <row r="62">
      <c r="A62" t="inlineStr">
        <is>
          <t>R182 at W=3100, h=8000, N=2300, 65% power</t>
        </is>
      </c>
    </row>
    <row r="63">
      <c r="A63" s="10" t="inlineStr">
        <is>
          <t>Item</t>
        </is>
      </c>
      <c r="B63" s="10" t="inlineStr">
        <is>
          <t>Expected</t>
        </is>
      </c>
      <c r="C63" s="10" t="inlineStr">
        <is>
          <t>Computed</t>
        </is>
      </c>
      <c r="D63" s="10" t="inlineStr">
        <is>
          <t>Delta</t>
        </is>
      </c>
    </row>
    <row r="64">
      <c r="A64" s="14" t="inlineStr">
        <is>
          <t>σ</t>
        </is>
      </c>
      <c r="B64" s="33" t="n">
        <v>0.786</v>
      </c>
      <c r="C64" s="15">
        <f>B39</f>
        <v/>
      </c>
      <c r="D64" s="15">
        <f>ABS(C64-B64)</f>
        <v/>
      </c>
    </row>
    <row r="65">
      <c r="A65" s="14" t="inlineStr">
        <is>
          <t>ρ</t>
        </is>
      </c>
      <c r="B65" s="34" t="n">
        <v>0.001868</v>
      </c>
      <c r="C65" s="20">
        <f>B40</f>
        <v/>
      </c>
      <c r="D65" s="20">
        <f>ABS(C65-B65)</f>
        <v/>
      </c>
    </row>
    <row r="66">
      <c r="A66" s="14" t="inlineStr">
        <is>
          <t>φ</t>
        </is>
      </c>
      <c r="B66" s="33" t="n">
        <v>0.7568</v>
      </c>
      <c r="C66" s="15">
        <f>B41</f>
        <v/>
      </c>
      <c r="D66" s="15">
        <f>ABS(C66-B66)</f>
        <v/>
      </c>
    </row>
    <row r="67">
      <c r="A67" s="14" t="inlineStr">
        <is>
          <t>X</t>
        </is>
      </c>
      <c r="B67" s="33" t="n">
        <v>0.2088</v>
      </c>
      <c r="C67" s="15">
        <f>B42</f>
        <v/>
      </c>
      <c r="D67" s="15">
        <f>ABS(C67-B67)</f>
        <v/>
      </c>
    </row>
    <row r="68">
      <c r="A68" s="14" t="inlineStr">
        <is>
          <t>SDF</t>
        </is>
      </c>
      <c r="B68" s="35" t="n">
        <v>0.91</v>
      </c>
      <c r="C68" s="18">
        <f>B44</f>
        <v/>
      </c>
      <c r="D68" s="18">
        <f>ABS(C68-B68)</f>
        <v/>
      </c>
    </row>
    <row r="70">
      <c r="A70" s="2" t="inlineStr">
        <is>
          <t>Performance at 60 KCAS</t>
        </is>
      </c>
      <c r="C70" t="inlineStr">
        <is>
          <t>(bootstp2.xls row 101)</t>
        </is>
      </c>
    </row>
    <row r="71">
      <c r="A71" s="14" t="inlineStr">
        <is>
          <t>η (eta)</t>
        </is>
      </c>
      <c r="B71" s="35" t="n">
        <v>0.617</v>
      </c>
      <c r="C71" s="18">
        <f>INDEX(H95:H255,MATCH(60,A95:A255,0))</f>
        <v/>
      </c>
      <c r="D71" s="18">
        <f>ABS(C71-B71)</f>
        <v/>
      </c>
    </row>
    <row r="72">
      <c r="A72" s="14" t="inlineStr">
        <is>
          <t>Thrust</t>
        </is>
      </c>
      <c r="B72" s="11" t="n">
        <v>453.5</v>
      </c>
      <c r="C72" s="12">
        <f>INDEX(I95:I255,MATCH(60,A95:A255,0))</f>
        <v/>
      </c>
      <c r="D72" s="12">
        <f>ABS(C72-B72)</f>
        <v/>
      </c>
    </row>
    <row r="73">
      <c r="A73" s="14" t="inlineStr">
        <is>
          <t>Dp</t>
        </is>
      </c>
      <c r="B73" s="11" t="n">
        <v>60.95</v>
      </c>
      <c r="C73" s="12">
        <f>INDEX(K95:K255,MATCH(60,A95:A255,0))</f>
        <v/>
      </c>
      <c r="D73" s="12">
        <f>ABS(C73-B73)</f>
        <v/>
      </c>
    </row>
    <row r="74">
      <c r="A74" s="14" t="inlineStr">
        <is>
          <t>Di</t>
        </is>
      </c>
      <c r="B74" s="11" t="n">
        <v>268.96</v>
      </c>
      <c r="C74" s="12">
        <f>INDEX(L95:L255,MATCH(60,A95:A255,0))</f>
        <v/>
      </c>
      <c r="D74" s="12">
        <f>ABS(C74-B74)</f>
        <v/>
      </c>
    </row>
    <row r="75">
      <c r="A75" s="14" t="inlineStr">
        <is>
          <t>Drag</t>
        </is>
      </c>
      <c r="B75" s="11" t="n">
        <v>329.91</v>
      </c>
      <c r="C75" s="12">
        <f>INDEX(M95:M255,MATCH(60,A95:A255,0))</f>
        <v/>
      </c>
      <c r="D75" s="12">
        <f>ABS(C75-B75)</f>
        <v/>
      </c>
    </row>
    <row r="76">
      <c r="A76" s="14" t="inlineStr">
        <is>
          <t>ROC</t>
        </is>
      </c>
      <c r="B76" s="36" t="n">
        <v>273.23</v>
      </c>
      <c r="C76" s="19">
        <f>INDEX(N95:N255,MATCH(60,A95:A255,0))</f>
        <v/>
      </c>
      <c r="D76" s="19">
        <f>ABS(C76-B76)</f>
        <v/>
      </c>
    </row>
    <row r="77">
      <c r="A77" s="14" t="inlineStr">
        <is>
          <t>ROS</t>
        </is>
      </c>
      <c r="B77" s="36" t="n">
        <v>729.37</v>
      </c>
      <c r="C77" s="19">
        <f>INDEX(P95:P255,MATCH(60,A95:A255,0))</f>
        <v/>
      </c>
      <c r="D77" s="19">
        <f>ABS(C77-B77)</f>
        <v/>
      </c>
    </row>
    <row r="78">
      <c r="A78" s="14" t="inlineStr">
        <is>
          <t>AOG</t>
        </is>
      </c>
      <c r="B78" s="35" t="n">
        <v>6.109</v>
      </c>
      <c r="C78" s="18">
        <f>INDEX(Q95:Q255,MATCH(60,A95:A255,0))</f>
        <v/>
      </c>
      <c r="D78" s="18">
        <f>ABS(C78-B78)</f>
        <v/>
      </c>
    </row>
    <row r="80">
      <c r="A80" s="2" t="inlineStr">
        <is>
          <t>V-Speed Comparison</t>
        </is>
      </c>
    </row>
    <row r="81">
      <c r="A81" s="14" t="inlineStr">
        <is>
          <t>Vy KCAS</t>
        </is>
      </c>
      <c r="B81" s="36" t="n">
        <v>77</v>
      </c>
      <c r="C81" s="19">
        <f>B55</f>
        <v/>
      </c>
      <c r="D81" s="19">
        <f>ABS(C81-B81)</f>
        <v/>
      </c>
    </row>
    <row r="82">
      <c r="A82" s="14" t="inlineStr">
        <is>
          <t>Vy ROC</t>
        </is>
      </c>
      <c r="B82" s="36" t="n">
        <v>371.7</v>
      </c>
      <c r="C82" s="19">
        <f>D55</f>
        <v/>
      </c>
      <c r="D82" s="19">
        <f>ABS(C82-B82)</f>
        <v/>
      </c>
    </row>
    <row r="83">
      <c r="A83" s="14" t="inlineStr">
        <is>
          <t>Vx KCAS</t>
        </is>
      </c>
      <c r="B83" s="36" t="n">
        <v>69.5</v>
      </c>
      <c r="C83" s="19">
        <f>B56</f>
        <v/>
      </c>
      <c r="D83" s="19">
        <f>ABS(C83-B83)</f>
        <v/>
      </c>
    </row>
    <row r="84">
      <c r="A84" s="14" t="inlineStr">
        <is>
          <t>Vx AOC</t>
        </is>
      </c>
      <c r="B84" s="11" t="n">
        <v>2.55</v>
      </c>
      <c r="C84" s="12">
        <f>D56</f>
        <v/>
      </c>
      <c r="D84" s="12">
        <f>ABS(C84-B84)</f>
        <v/>
      </c>
    </row>
    <row r="85">
      <c r="A85" s="14" t="inlineStr">
        <is>
          <t>Vbg KCAS</t>
        </is>
      </c>
      <c r="B85" s="36" t="n">
        <v>87</v>
      </c>
      <c r="C85" s="19">
        <f>B57</f>
        <v/>
      </c>
      <c r="D85" s="19">
        <f>ABS(C85-B85)</f>
        <v/>
      </c>
    </row>
    <row r="86">
      <c r="A86" s="14" t="inlineStr">
        <is>
          <t>Vbg AOG</t>
        </is>
      </c>
      <c r="B86" s="11" t="n">
        <v>4.74</v>
      </c>
      <c r="C86" s="12">
        <f>D57</f>
        <v/>
      </c>
      <c r="D86" s="12">
        <f>ABS(C86-B86)</f>
        <v/>
      </c>
    </row>
    <row r="87">
      <c r="A87" s="14" t="inlineStr">
        <is>
          <t>Vmd KCAS</t>
        </is>
      </c>
      <c r="B87" s="36" t="n">
        <v>66</v>
      </c>
      <c r="C87" s="19">
        <f>B58</f>
        <v/>
      </c>
      <c r="D87" s="19">
        <f>ABS(C87-B87)</f>
        <v/>
      </c>
    </row>
    <row r="88">
      <c r="A88" s="14" t="inlineStr">
        <is>
          <t>Vmd ROS</t>
        </is>
      </c>
      <c r="B88" s="36" t="n">
        <v>719.9</v>
      </c>
      <c r="C88" s="19">
        <f>D58</f>
        <v/>
      </c>
      <c r="D88" s="19">
        <f>ABS(C88-B88)</f>
        <v/>
      </c>
    </row>
    <row r="89">
      <c r="A89" s="14" t="inlineStr">
        <is>
          <t>VM KCAS</t>
        </is>
      </c>
      <c r="B89" s="36" t="n">
        <v>111.5</v>
      </c>
      <c r="C89" s="19">
        <f>B59</f>
        <v/>
      </c>
      <c r="D89" s="19">
        <f>ABS(C89-B89)</f>
        <v/>
      </c>
    </row>
    <row r="91">
      <c r="A91" t="inlineStr">
        <is>
          <t>Deltas &lt; 0.5 for KCAS (0.5 kt resolution), &lt; 1% for others</t>
        </is>
      </c>
    </row>
    <row r="93">
      <c r="A93" s="2" t="inlineStr">
        <is>
          <t>Performance Table</t>
        </is>
      </c>
      <c r="E93" t="inlineStr">
        <is>
          <t>KCAS 60–140 (step 0.5) at current conditions</t>
        </is>
      </c>
    </row>
    <row r="94">
      <c r="A94" s="10" t="inlineStr">
        <is>
          <t>KCAS</t>
        </is>
      </c>
      <c r="B94" s="10" t="inlineStr">
        <is>
          <t>KTAS</t>
        </is>
      </c>
      <c r="C94" s="10" t="inlineStr">
        <is>
          <t>V_fps</t>
        </is>
      </c>
      <c r="D94" s="10" t="inlineStr">
        <is>
          <t>J</t>
        </is>
      </c>
      <c r="E94" s="10" t="inlineStr">
        <is>
          <t>h</t>
        </is>
      </c>
      <c r="F94" s="10" t="inlineStr">
        <is>
          <t>η_lo</t>
        </is>
      </c>
      <c r="G94" s="10" t="inlineStr">
        <is>
          <t>η_hi</t>
        </is>
      </c>
      <c r="H94" s="10" t="inlineStr">
        <is>
          <t>η</t>
        </is>
      </c>
      <c r="I94" s="10" t="inlineStr">
        <is>
          <t>Thrust</t>
        </is>
      </c>
      <c r="J94" s="10" t="inlineStr">
        <is>
          <t>q</t>
        </is>
      </c>
      <c r="K94" s="10" t="inlineStr">
        <is>
          <t>Dp</t>
        </is>
      </c>
      <c r="L94" s="10" t="inlineStr">
        <is>
          <t>Di</t>
        </is>
      </c>
      <c r="M94" s="10" t="inlineStr">
        <is>
          <t>Drag</t>
        </is>
      </c>
      <c r="N94" s="10" t="inlineStr">
        <is>
          <t>ROC</t>
        </is>
      </c>
      <c r="O94" s="10" t="inlineStr">
        <is>
          <t>AOC</t>
        </is>
      </c>
      <c r="P94" s="10" t="inlineStr">
        <is>
          <t>ROS</t>
        </is>
      </c>
      <c r="Q94" s="10" t="inlineStr">
        <is>
          <t>AOG</t>
        </is>
      </c>
    </row>
    <row r="95">
      <c r="A95" s="36" t="n">
        <v>60</v>
      </c>
      <c r="B95" s="19">
        <f>A95/SQRT($B$39)</f>
        <v/>
      </c>
      <c r="C95" s="12">
        <f>B95/0.5924838</f>
        <v/>
      </c>
      <c r="D95" s="18">
        <f>C95/($B$46*$B$23)</f>
        <v/>
      </c>
      <c r="E95" s="18">
        <f>D95/$B$47^(1/3)</f>
        <v/>
      </c>
      <c r="F95" s="15">
        <f>INDEX($C$6:$J$6,1,$B$49)+E95*(INDEX($C$7:$J$7,1,$B$49)+E95*(INDEX($C$8:$J$8,1,$B$49)+E95*(INDEX($C$9:$J$9,1,$B$49)+E95*(INDEX($C$10:$J$10,1,$B$49)+E95*(INDEX($C$11:$J$11,1,$B$49)+E95*(INDEX($C$12:$J$12,1,$B$49)))))))</f>
        <v/>
      </c>
      <c r="G95" s="15">
        <f>INDEX($C$6:$J$6,1,$B$49+1)+E95*(INDEX($C$7:$J$7,1,$B$49+1)+E95*(INDEX($C$8:$J$8,1,$B$49+1)+E95*(INDEX($C$9:$J$9,1,$B$49+1)+E95*(INDEX($C$10:$J$10,1,$B$49+1)+E95*(INDEX($C$11:$J$11,1,$B$49+1)+E95*(INDEX($C$12:$J$12,1,$B$49+1)))))))</f>
        <v/>
      </c>
      <c r="H95" s="18">
        <f>$B$44*(F95+$B$52*(G95-F95))</f>
        <v/>
      </c>
      <c r="I95" s="19">
        <f>H95*$B$45/C95</f>
        <v/>
      </c>
      <c r="J95" s="12">
        <f>0.5*$B$40*C95^2</f>
        <v/>
      </c>
      <c r="K95" s="12">
        <f>$B$24*J95*$B$19</f>
        <v/>
      </c>
      <c r="L95" s="12">
        <f>$B$33^2/(J95*$B$19*PI()*$B$43*$B$25)</f>
        <v/>
      </c>
      <c r="M95" s="19">
        <f>K95+L95</f>
        <v/>
      </c>
      <c r="N95" s="19">
        <f>(I95-M95)*C95/$B$33*60</f>
        <v/>
      </c>
      <c r="O95" s="12">
        <f>DEGREES(ASIN(MIN(1,MAX(-1,(I95-M95)/$B$33))))</f>
        <v/>
      </c>
      <c r="P95" s="19">
        <f>M95*C95/$B$33*60</f>
        <v/>
      </c>
      <c r="Q95" s="12">
        <f>DEGREES(ASIN(MIN(1,MAX(-1,M95/$B$33))))</f>
        <v/>
      </c>
    </row>
    <row r="96">
      <c r="A96" s="36" t="n">
        <v>60.5</v>
      </c>
      <c r="B96" s="19">
        <f>A96/SQRT($B$39)</f>
        <v/>
      </c>
      <c r="C96" s="12">
        <f>B96/0.5924838</f>
        <v/>
      </c>
      <c r="D96" s="18">
        <f>C96/($B$46*$B$23)</f>
        <v/>
      </c>
      <c r="E96" s="18">
        <f>D96/$B$47^(1/3)</f>
        <v/>
      </c>
      <c r="F96" s="15">
        <f>INDEX($C$6:$J$6,1,$B$49)+E96*(INDEX($C$7:$J$7,1,$B$49)+E96*(INDEX($C$8:$J$8,1,$B$49)+E96*(INDEX($C$9:$J$9,1,$B$49)+E96*(INDEX($C$10:$J$10,1,$B$49)+E96*(INDEX($C$11:$J$11,1,$B$49)+E96*(INDEX($C$12:$J$12,1,$B$49)))))))</f>
        <v/>
      </c>
      <c r="G96" s="15">
        <f>INDEX($C$6:$J$6,1,$B$49+1)+E96*(INDEX($C$7:$J$7,1,$B$49+1)+E96*(INDEX($C$8:$J$8,1,$B$49+1)+E96*(INDEX($C$9:$J$9,1,$B$49+1)+E96*(INDEX($C$10:$J$10,1,$B$49+1)+E96*(INDEX($C$11:$J$11,1,$B$49+1)+E96*(INDEX($C$12:$J$12,1,$B$49+1)))))))</f>
        <v/>
      </c>
      <c r="H96" s="18">
        <f>$B$44*(F96+$B$52*(G96-F96))</f>
        <v/>
      </c>
      <c r="I96" s="19">
        <f>H96*$B$45/C96</f>
        <v/>
      </c>
      <c r="J96" s="12">
        <f>0.5*$B$40*C96^2</f>
        <v/>
      </c>
      <c r="K96" s="12">
        <f>$B$24*J96*$B$19</f>
        <v/>
      </c>
      <c r="L96" s="12">
        <f>$B$33^2/(J96*$B$19*PI()*$B$43*$B$25)</f>
        <v/>
      </c>
      <c r="M96" s="19">
        <f>K96+L96</f>
        <v/>
      </c>
      <c r="N96" s="19">
        <f>(I96-M96)*C96/$B$33*60</f>
        <v/>
      </c>
      <c r="O96" s="12">
        <f>DEGREES(ASIN(MIN(1,MAX(-1,(I96-M96)/$B$33))))</f>
        <v/>
      </c>
      <c r="P96" s="19">
        <f>M96*C96/$B$33*60</f>
        <v/>
      </c>
      <c r="Q96" s="12">
        <f>DEGREES(ASIN(MIN(1,MAX(-1,M96/$B$33))))</f>
        <v/>
      </c>
    </row>
    <row r="97">
      <c r="A97" s="36" t="n">
        <v>61</v>
      </c>
      <c r="B97" s="19">
        <f>A97/SQRT($B$39)</f>
        <v/>
      </c>
      <c r="C97" s="12">
        <f>B97/0.5924838</f>
        <v/>
      </c>
      <c r="D97" s="18">
        <f>C97/($B$46*$B$23)</f>
        <v/>
      </c>
      <c r="E97" s="18">
        <f>D97/$B$47^(1/3)</f>
        <v/>
      </c>
      <c r="F97" s="15">
        <f>INDEX($C$6:$J$6,1,$B$49)+E97*(INDEX($C$7:$J$7,1,$B$49)+E97*(INDEX($C$8:$J$8,1,$B$49)+E97*(INDEX($C$9:$J$9,1,$B$49)+E97*(INDEX($C$10:$J$10,1,$B$49)+E97*(INDEX($C$11:$J$11,1,$B$49)+E97*(INDEX($C$12:$J$12,1,$B$49)))))))</f>
        <v/>
      </c>
      <c r="G97" s="15">
        <f>INDEX($C$6:$J$6,1,$B$49+1)+E97*(INDEX($C$7:$J$7,1,$B$49+1)+E97*(INDEX($C$8:$J$8,1,$B$49+1)+E97*(INDEX($C$9:$J$9,1,$B$49+1)+E97*(INDEX($C$10:$J$10,1,$B$49+1)+E97*(INDEX($C$11:$J$11,1,$B$49+1)+E97*(INDEX($C$12:$J$12,1,$B$49+1)))))))</f>
        <v/>
      </c>
      <c r="H97" s="18">
        <f>$B$44*(F97+$B$52*(G97-F97))</f>
        <v/>
      </c>
      <c r="I97" s="19">
        <f>H97*$B$45/C97</f>
        <v/>
      </c>
      <c r="J97" s="12">
        <f>0.5*$B$40*C97^2</f>
        <v/>
      </c>
      <c r="K97" s="12">
        <f>$B$24*J97*$B$19</f>
        <v/>
      </c>
      <c r="L97" s="12">
        <f>$B$33^2/(J97*$B$19*PI()*$B$43*$B$25)</f>
        <v/>
      </c>
      <c r="M97" s="19">
        <f>K97+L97</f>
        <v/>
      </c>
      <c r="N97" s="19">
        <f>(I97-M97)*C97/$B$33*60</f>
        <v/>
      </c>
      <c r="O97" s="12">
        <f>DEGREES(ASIN(MIN(1,MAX(-1,(I97-M97)/$B$33))))</f>
        <v/>
      </c>
      <c r="P97" s="19">
        <f>M97*C97/$B$33*60</f>
        <v/>
      </c>
      <c r="Q97" s="12">
        <f>DEGREES(ASIN(MIN(1,MAX(-1,M97/$B$33))))</f>
        <v/>
      </c>
    </row>
    <row r="98">
      <c r="A98" s="36" t="n">
        <v>61.5</v>
      </c>
      <c r="B98" s="19">
        <f>A98/SQRT($B$39)</f>
        <v/>
      </c>
      <c r="C98" s="12">
        <f>B98/0.5924838</f>
        <v/>
      </c>
      <c r="D98" s="18">
        <f>C98/($B$46*$B$23)</f>
        <v/>
      </c>
      <c r="E98" s="18">
        <f>D98/$B$47^(1/3)</f>
        <v/>
      </c>
      <c r="F98" s="15">
        <f>INDEX($C$6:$J$6,1,$B$49)+E98*(INDEX($C$7:$J$7,1,$B$49)+E98*(INDEX($C$8:$J$8,1,$B$49)+E98*(INDEX($C$9:$J$9,1,$B$49)+E98*(INDEX($C$10:$J$10,1,$B$49)+E98*(INDEX($C$11:$J$11,1,$B$49)+E98*(INDEX($C$12:$J$12,1,$B$49)))))))</f>
        <v/>
      </c>
      <c r="G98" s="15">
        <f>INDEX($C$6:$J$6,1,$B$49+1)+E98*(INDEX($C$7:$J$7,1,$B$49+1)+E98*(INDEX($C$8:$J$8,1,$B$49+1)+E98*(INDEX($C$9:$J$9,1,$B$49+1)+E98*(INDEX($C$10:$J$10,1,$B$49+1)+E98*(INDEX($C$11:$J$11,1,$B$49+1)+E98*(INDEX($C$12:$J$12,1,$B$49+1)))))))</f>
        <v/>
      </c>
      <c r="H98" s="18">
        <f>$B$44*(F98+$B$52*(G98-F98))</f>
        <v/>
      </c>
      <c r="I98" s="19">
        <f>H98*$B$45/C98</f>
        <v/>
      </c>
      <c r="J98" s="12">
        <f>0.5*$B$40*C98^2</f>
        <v/>
      </c>
      <c r="K98" s="12">
        <f>$B$24*J98*$B$19</f>
        <v/>
      </c>
      <c r="L98" s="12">
        <f>$B$33^2/(J98*$B$19*PI()*$B$43*$B$25)</f>
        <v/>
      </c>
      <c r="M98" s="19">
        <f>K98+L98</f>
        <v/>
      </c>
      <c r="N98" s="19">
        <f>(I98-M98)*C98/$B$33*60</f>
        <v/>
      </c>
      <c r="O98" s="12">
        <f>DEGREES(ASIN(MIN(1,MAX(-1,(I98-M98)/$B$33))))</f>
        <v/>
      </c>
      <c r="P98" s="19">
        <f>M98*C98/$B$33*60</f>
        <v/>
      </c>
      <c r="Q98" s="12">
        <f>DEGREES(ASIN(MIN(1,MAX(-1,M98/$B$33))))</f>
        <v/>
      </c>
    </row>
    <row r="99">
      <c r="A99" s="36" t="n">
        <v>62</v>
      </c>
      <c r="B99" s="19">
        <f>A99/SQRT($B$39)</f>
        <v/>
      </c>
      <c r="C99" s="12">
        <f>B99/0.5924838</f>
        <v/>
      </c>
      <c r="D99" s="18">
        <f>C99/($B$46*$B$23)</f>
        <v/>
      </c>
      <c r="E99" s="18">
        <f>D99/$B$47^(1/3)</f>
        <v/>
      </c>
      <c r="F99" s="15">
        <f>INDEX($C$6:$J$6,1,$B$49)+E99*(INDEX($C$7:$J$7,1,$B$49)+E99*(INDEX($C$8:$J$8,1,$B$49)+E99*(INDEX($C$9:$J$9,1,$B$49)+E99*(INDEX($C$10:$J$10,1,$B$49)+E99*(INDEX($C$11:$J$11,1,$B$49)+E99*(INDEX($C$12:$J$12,1,$B$49)))))))</f>
        <v/>
      </c>
      <c r="G99" s="15">
        <f>INDEX($C$6:$J$6,1,$B$49+1)+E99*(INDEX($C$7:$J$7,1,$B$49+1)+E99*(INDEX($C$8:$J$8,1,$B$49+1)+E99*(INDEX($C$9:$J$9,1,$B$49+1)+E99*(INDEX($C$10:$J$10,1,$B$49+1)+E99*(INDEX($C$11:$J$11,1,$B$49+1)+E99*(INDEX($C$12:$J$12,1,$B$49+1)))))))</f>
        <v/>
      </c>
      <c r="H99" s="18">
        <f>$B$44*(F99+$B$52*(G99-F99))</f>
        <v/>
      </c>
      <c r="I99" s="19">
        <f>H99*$B$45/C99</f>
        <v/>
      </c>
      <c r="J99" s="12">
        <f>0.5*$B$40*C99^2</f>
        <v/>
      </c>
      <c r="K99" s="12">
        <f>$B$24*J99*$B$19</f>
        <v/>
      </c>
      <c r="L99" s="12">
        <f>$B$33^2/(J99*$B$19*PI()*$B$43*$B$25)</f>
        <v/>
      </c>
      <c r="M99" s="19">
        <f>K99+L99</f>
        <v/>
      </c>
      <c r="N99" s="19">
        <f>(I99-M99)*C99/$B$33*60</f>
        <v/>
      </c>
      <c r="O99" s="12">
        <f>DEGREES(ASIN(MIN(1,MAX(-1,(I99-M99)/$B$33))))</f>
        <v/>
      </c>
      <c r="P99" s="19">
        <f>M99*C99/$B$33*60</f>
        <v/>
      </c>
      <c r="Q99" s="12">
        <f>DEGREES(ASIN(MIN(1,MAX(-1,M99/$B$33))))</f>
        <v/>
      </c>
    </row>
    <row r="100">
      <c r="A100" s="36" t="n">
        <v>62.5</v>
      </c>
      <c r="B100" s="19">
        <f>A100/SQRT($B$39)</f>
        <v/>
      </c>
      <c r="C100" s="12">
        <f>B100/0.5924838</f>
        <v/>
      </c>
      <c r="D100" s="18">
        <f>C100/($B$46*$B$23)</f>
        <v/>
      </c>
      <c r="E100" s="18">
        <f>D100/$B$47^(1/3)</f>
        <v/>
      </c>
      <c r="F100" s="15">
        <f>INDEX($C$6:$J$6,1,$B$49)+E100*(INDEX($C$7:$J$7,1,$B$49)+E100*(INDEX($C$8:$J$8,1,$B$49)+E100*(INDEX($C$9:$J$9,1,$B$49)+E100*(INDEX($C$10:$J$10,1,$B$49)+E100*(INDEX($C$11:$J$11,1,$B$49)+E100*(INDEX($C$12:$J$12,1,$B$49)))))))</f>
        <v/>
      </c>
      <c r="G100" s="15">
        <f>INDEX($C$6:$J$6,1,$B$49+1)+E100*(INDEX($C$7:$J$7,1,$B$49+1)+E100*(INDEX($C$8:$J$8,1,$B$49+1)+E100*(INDEX($C$9:$J$9,1,$B$49+1)+E100*(INDEX($C$10:$J$10,1,$B$49+1)+E100*(INDEX($C$11:$J$11,1,$B$49+1)+E100*(INDEX($C$12:$J$12,1,$B$49+1)))))))</f>
        <v/>
      </c>
      <c r="H100" s="18">
        <f>$B$44*(F100+$B$52*(G100-F100))</f>
        <v/>
      </c>
      <c r="I100" s="19">
        <f>H100*$B$45/C100</f>
        <v/>
      </c>
      <c r="J100" s="12">
        <f>0.5*$B$40*C100^2</f>
        <v/>
      </c>
      <c r="K100" s="12">
        <f>$B$24*J100*$B$19</f>
        <v/>
      </c>
      <c r="L100" s="12">
        <f>$B$33^2/(J100*$B$19*PI()*$B$43*$B$25)</f>
        <v/>
      </c>
      <c r="M100" s="19">
        <f>K100+L100</f>
        <v/>
      </c>
      <c r="N100" s="19">
        <f>(I100-M100)*C100/$B$33*60</f>
        <v/>
      </c>
      <c r="O100" s="12">
        <f>DEGREES(ASIN(MIN(1,MAX(-1,(I100-M100)/$B$33))))</f>
        <v/>
      </c>
      <c r="P100" s="19">
        <f>M100*C100/$B$33*60</f>
        <v/>
      </c>
      <c r="Q100" s="12">
        <f>DEGREES(ASIN(MIN(1,MAX(-1,M100/$B$33))))</f>
        <v/>
      </c>
    </row>
    <row r="101">
      <c r="A101" s="36" t="n">
        <v>63</v>
      </c>
      <c r="B101" s="19">
        <f>A101/SQRT($B$39)</f>
        <v/>
      </c>
      <c r="C101" s="12">
        <f>B101/0.5924838</f>
        <v/>
      </c>
      <c r="D101" s="18">
        <f>C101/($B$46*$B$23)</f>
        <v/>
      </c>
      <c r="E101" s="18">
        <f>D101/$B$47^(1/3)</f>
        <v/>
      </c>
      <c r="F101" s="15">
        <f>INDEX($C$6:$J$6,1,$B$49)+E101*(INDEX($C$7:$J$7,1,$B$49)+E101*(INDEX($C$8:$J$8,1,$B$49)+E101*(INDEX($C$9:$J$9,1,$B$49)+E101*(INDEX($C$10:$J$10,1,$B$49)+E101*(INDEX($C$11:$J$11,1,$B$49)+E101*(INDEX($C$12:$J$12,1,$B$49)))))))</f>
        <v/>
      </c>
      <c r="G101" s="15">
        <f>INDEX($C$6:$J$6,1,$B$49+1)+E101*(INDEX($C$7:$J$7,1,$B$49+1)+E101*(INDEX($C$8:$J$8,1,$B$49+1)+E101*(INDEX($C$9:$J$9,1,$B$49+1)+E101*(INDEX($C$10:$J$10,1,$B$49+1)+E101*(INDEX($C$11:$J$11,1,$B$49+1)+E101*(INDEX($C$12:$J$12,1,$B$49+1)))))))</f>
        <v/>
      </c>
      <c r="H101" s="18">
        <f>$B$44*(F101+$B$52*(G101-F101))</f>
        <v/>
      </c>
      <c r="I101" s="19">
        <f>H101*$B$45/C101</f>
        <v/>
      </c>
      <c r="J101" s="12">
        <f>0.5*$B$40*C101^2</f>
        <v/>
      </c>
      <c r="K101" s="12">
        <f>$B$24*J101*$B$19</f>
        <v/>
      </c>
      <c r="L101" s="12">
        <f>$B$33^2/(J101*$B$19*PI()*$B$43*$B$25)</f>
        <v/>
      </c>
      <c r="M101" s="19">
        <f>K101+L101</f>
        <v/>
      </c>
      <c r="N101" s="19">
        <f>(I101-M101)*C101/$B$33*60</f>
        <v/>
      </c>
      <c r="O101" s="12">
        <f>DEGREES(ASIN(MIN(1,MAX(-1,(I101-M101)/$B$33))))</f>
        <v/>
      </c>
      <c r="P101" s="19">
        <f>M101*C101/$B$33*60</f>
        <v/>
      </c>
      <c r="Q101" s="12">
        <f>DEGREES(ASIN(MIN(1,MAX(-1,M101/$B$33))))</f>
        <v/>
      </c>
    </row>
    <row r="102">
      <c r="A102" s="36" t="n">
        <v>63.5</v>
      </c>
      <c r="B102" s="19">
        <f>A102/SQRT($B$39)</f>
        <v/>
      </c>
      <c r="C102" s="12">
        <f>B102/0.5924838</f>
        <v/>
      </c>
      <c r="D102" s="18">
        <f>C102/($B$46*$B$23)</f>
        <v/>
      </c>
      <c r="E102" s="18">
        <f>D102/$B$47^(1/3)</f>
        <v/>
      </c>
      <c r="F102" s="15">
        <f>INDEX($C$6:$J$6,1,$B$49)+E102*(INDEX($C$7:$J$7,1,$B$49)+E102*(INDEX($C$8:$J$8,1,$B$49)+E102*(INDEX($C$9:$J$9,1,$B$49)+E102*(INDEX($C$10:$J$10,1,$B$49)+E102*(INDEX($C$11:$J$11,1,$B$49)+E102*(INDEX($C$12:$J$12,1,$B$49)))))))</f>
        <v/>
      </c>
      <c r="G102" s="15">
        <f>INDEX($C$6:$J$6,1,$B$49+1)+E102*(INDEX($C$7:$J$7,1,$B$49+1)+E102*(INDEX($C$8:$J$8,1,$B$49+1)+E102*(INDEX($C$9:$J$9,1,$B$49+1)+E102*(INDEX($C$10:$J$10,1,$B$49+1)+E102*(INDEX($C$11:$J$11,1,$B$49+1)+E102*(INDEX($C$12:$J$12,1,$B$49+1)))))))</f>
        <v/>
      </c>
      <c r="H102" s="18">
        <f>$B$44*(F102+$B$52*(G102-F102))</f>
        <v/>
      </c>
      <c r="I102" s="19">
        <f>H102*$B$45/C102</f>
        <v/>
      </c>
      <c r="J102" s="12">
        <f>0.5*$B$40*C102^2</f>
        <v/>
      </c>
      <c r="K102" s="12">
        <f>$B$24*J102*$B$19</f>
        <v/>
      </c>
      <c r="L102" s="12">
        <f>$B$33^2/(J102*$B$19*PI()*$B$43*$B$25)</f>
        <v/>
      </c>
      <c r="M102" s="19">
        <f>K102+L102</f>
        <v/>
      </c>
      <c r="N102" s="19">
        <f>(I102-M102)*C102/$B$33*60</f>
        <v/>
      </c>
      <c r="O102" s="12">
        <f>DEGREES(ASIN(MIN(1,MAX(-1,(I102-M102)/$B$33))))</f>
        <v/>
      </c>
      <c r="P102" s="19">
        <f>M102*C102/$B$33*60</f>
        <v/>
      </c>
      <c r="Q102" s="12">
        <f>DEGREES(ASIN(MIN(1,MAX(-1,M102/$B$33))))</f>
        <v/>
      </c>
    </row>
    <row r="103">
      <c r="A103" s="36" t="n">
        <v>64</v>
      </c>
      <c r="B103" s="19">
        <f>A103/SQRT($B$39)</f>
        <v/>
      </c>
      <c r="C103" s="12">
        <f>B103/0.5924838</f>
        <v/>
      </c>
      <c r="D103" s="18">
        <f>C103/($B$46*$B$23)</f>
        <v/>
      </c>
      <c r="E103" s="18">
        <f>D103/$B$47^(1/3)</f>
        <v/>
      </c>
      <c r="F103" s="15">
        <f>INDEX($C$6:$J$6,1,$B$49)+E103*(INDEX($C$7:$J$7,1,$B$49)+E103*(INDEX($C$8:$J$8,1,$B$49)+E103*(INDEX($C$9:$J$9,1,$B$49)+E103*(INDEX($C$10:$J$10,1,$B$49)+E103*(INDEX($C$11:$J$11,1,$B$49)+E103*(INDEX($C$12:$J$12,1,$B$49)))))))</f>
        <v/>
      </c>
      <c r="G103" s="15">
        <f>INDEX($C$6:$J$6,1,$B$49+1)+E103*(INDEX($C$7:$J$7,1,$B$49+1)+E103*(INDEX($C$8:$J$8,1,$B$49+1)+E103*(INDEX($C$9:$J$9,1,$B$49+1)+E103*(INDEX($C$10:$J$10,1,$B$49+1)+E103*(INDEX($C$11:$J$11,1,$B$49+1)+E103*(INDEX($C$12:$J$12,1,$B$49+1)))))))</f>
        <v/>
      </c>
      <c r="H103" s="18">
        <f>$B$44*(F103+$B$52*(G103-F103))</f>
        <v/>
      </c>
      <c r="I103" s="19">
        <f>H103*$B$45/C103</f>
        <v/>
      </c>
      <c r="J103" s="12">
        <f>0.5*$B$40*C103^2</f>
        <v/>
      </c>
      <c r="K103" s="12">
        <f>$B$24*J103*$B$19</f>
        <v/>
      </c>
      <c r="L103" s="12">
        <f>$B$33^2/(J103*$B$19*PI()*$B$43*$B$25)</f>
        <v/>
      </c>
      <c r="M103" s="19">
        <f>K103+L103</f>
        <v/>
      </c>
      <c r="N103" s="19">
        <f>(I103-M103)*C103/$B$33*60</f>
        <v/>
      </c>
      <c r="O103" s="12">
        <f>DEGREES(ASIN(MIN(1,MAX(-1,(I103-M103)/$B$33))))</f>
        <v/>
      </c>
      <c r="P103" s="19">
        <f>M103*C103/$B$33*60</f>
        <v/>
      </c>
      <c r="Q103" s="12">
        <f>DEGREES(ASIN(MIN(1,MAX(-1,M103/$B$33))))</f>
        <v/>
      </c>
    </row>
    <row r="104">
      <c r="A104" s="36" t="n">
        <v>64.5</v>
      </c>
      <c r="B104" s="19">
        <f>A104/SQRT($B$39)</f>
        <v/>
      </c>
      <c r="C104" s="12">
        <f>B104/0.5924838</f>
        <v/>
      </c>
      <c r="D104" s="18">
        <f>C104/($B$46*$B$23)</f>
        <v/>
      </c>
      <c r="E104" s="18">
        <f>D104/$B$47^(1/3)</f>
        <v/>
      </c>
      <c r="F104" s="15">
        <f>INDEX($C$6:$J$6,1,$B$49)+E104*(INDEX($C$7:$J$7,1,$B$49)+E104*(INDEX($C$8:$J$8,1,$B$49)+E104*(INDEX($C$9:$J$9,1,$B$49)+E104*(INDEX($C$10:$J$10,1,$B$49)+E104*(INDEX($C$11:$J$11,1,$B$49)+E104*(INDEX($C$12:$J$12,1,$B$49)))))))</f>
        <v/>
      </c>
      <c r="G104" s="15">
        <f>INDEX($C$6:$J$6,1,$B$49+1)+E104*(INDEX($C$7:$J$7,1,$B$49+1)+E104*(INDEX($C$8:$J$8,1,$B$49+1)+E104*(INDEX($C$9:$J$9,1,$B$49+1)+E104*(INDEX($C$10:$J$10,1,$B$49+1)+E104*(INDEX($C$11:$J$11,1,$B$49+1)+E104*(INDEX($C$12:$J$12,1,$B$49+1)))))))</f>
        <v/>
      </c>
      <c r="H104" s="18">
        <f>$B$44*(F104+$B$52*(G104-F104))</f>
        <v/>
      </c>
      <c r="I104" s="19">
        <f>H104*$B$45/C104</f>
        <v/>
      </c>
      <c r="J104" s="12">
        <f>0.5*$B$40*C104^2</f>
        <v/>
      </c>
      <c r="K104" s="12">
        <f>$B$24*J104*$B$19</f>
        <v/>
      </c>
      <c r="L104" s="12">
        <f>$B$33^2/(J104*$B$19*PI()*$B$43*$B$25)</f>
        <v/>
      </c>
      <c r="M104" s="19">
        <f>K104+L104</f>
        <v/>
      </c>
      <c r="N104" s="19">
        <f>(I104-M104)*C104/$B$33*60</f>
        <v/>
      </c>
      <c r="O104" s="12">
        <f>DEGREES(ASIN(MIN(1,MAX(-1,(I104-M104)/$B$33))))</f>
        <v/>
      </c>
      <c r="P104" s="19">
        <f>M104*C104/$B$33*60</f>
        <v/>
      </c>
      <c r="Q104" s="12">
        <f>DEGREES(ASIN(MIN(1,MAX(-1,M104/$B$33))))</f>
        <v/>
      </c>
    </row>
    <row r="105">
      <c r="A105" s="36" t="n">
        <v>65</v>
      </c>
      <c r="B105" s="19">
        <f>A105/SQRT($B$39)</f>
        <v/>
      </c>
      <c r="C105" s="12">
        <f>B105/0.5924838</f>
        <v/>
      </c>
      <c r="D105" s="18">
        <f>C105/($B$46*$B$23)</f>
        <v/>
      </c>
      <c r="E105" s="18">
        <f>D105/$B$47^(1/3)</f>
        <v/>
      </c>
      <c r="F105" s="15">
        <f>INDEX($C$6:$J$6,1,$B$49)+E105*(INDEX($C$7:$J$7,1,$B$49)+E105*(INDEX($C$8:$J$8,1,$B$49)+E105*(INDEX($C$9:$J$9,1,$B$49)+E105*(INDEX($C$10:$J$10,1,$B$49)+E105*(INDEX($C$11:$J$11,1,$B$49)+E105*(INDEX($C$12:$J$12,1,$B$49)))))))</f>
        <v/>
      </c>
      <c r="G105" s="15">
        <f>INDEX($C$6:$J$6,1,$B$49+1)+E105*(INDEX($C$7:$J$7,1,$B$49+1)+E105*(INDEX($C$8:$J$8,1,$B$49+1)+E105*(INDEX($C$9:$J$9,1,$B$49+1)+E105*(INDEX($C$10:$J$10,1,$B$49+1)+E105*(INDEX($C$11:$J$11,1,$B$49+1)+E105*(INDEX($C$12:$J$12,1,$B$49+1)))))))</f>
        <v/>
      </c>
      <c r="H105" s="18">
        <f>$B$44*(F105+$B$52*(G105-F105))</f>
        <v/>
      </c>
      <c r="I105" s="19">
        <f>H105*$B$45/C105</f>
        <v/>
      </c>
      <c r="J105" s="12">
        <f>0.5*$B$40*C105^2</f>
        <v/>
      </c>
      <c r="K105" s="12">
        <f>$B$24*J105*$B$19</f>
        <v/>
      </c>
      <c r="L105" s="12">
        <f>$B$33^2/(J105*$B$19*PI()*$B$43*$B$25)</f>
        <v/>
      </c>
      <c r="M105" s="19">
        <f>K105+L105</f>
        <v/>
      </c>
      <c r="N105" s="19">
        <f>(I105-M105)*C105/$B$33*60</f>
        <v/>
      </c>
      <c r="O105" s="12">
        <f>DEGREES(ASIN(MIN(1,MAX(-1,(I105-M105)/$B$33))))</f>
        <v/>
      </c>
      <c r="P105" s="19">
        <f>M105*C105/$B$33*60</f>
        <v/>
      </c>
      <c r="Q105" s="12">
        <f>DEGREES(ASIN(MIN(1,MAX(-1,M105/$B$33))))</f>
        <v/>
      </c>
    </row>
    <row r="106">
      <c r="A106" s="36" t="n">
        <v>65.5</v>
      </c>
      <c r="B106" s="19">
        <f>A106/SQRT($B$39)</f>
        <v/>
      </c>
      <c r="C106" s="12">
        <f>B106/0.5924838</f>
        <v/>
      </c>
      <c r="D106" s="18">
        <f>C106/($B$46*$B$23)</f>
        <v/>
      </c>
      <c r="E106" s="18">
        <f>D106/$B$47^(1/3)</f>
        <v/>
      </c>
      <c r="F106" s="15">
        <f>INDEX($C$6:$J$6,1,$B$49)+E106*(INDEX($C$7:$J$7,1,$B$49)+E106*(INDEX($C$8:$J$8,1,$B$49)+E106*(INDEX($C$9:$J$9,1,$B$49)+E106*(INDEX($C$10:$J$10,1,$B$49)+E106*(INDEX($C$11:$J$11,1,$B$49)+E106*(INDEX($C$12:$J$12,1,$B$49)))))))</f>
        <v/>
      </c>
      <c r="G106" s="15">
        <f>INDEX($C$6:$J$6,1,$B$49+1)+E106*(INDEX($C$7:$J$7,1,$B$49+1)+E106*(INDEX($C$8:$J$8,1,$B$49+1)+E106*(INDEX($C$9:$J$9,1,$B$49+1)+E106*(INDEX($C$10:$J$10,1,$B$49+1)+E106*(INDEX($C$11:$J$11,1,$B$49+1)+E106*(INDEX($C$12:$J$12,1,$B$49+1)))))))</f>
        <v/>
      </c>
      <c r="H106" s="18">
        <f>$B$44*(F106+$B$52*(G106-F106))</f>
        <v/>
      </c>
      <c r="I106" s="19">
        <f>H106*$B$45/C106</f>
        <v/>
      </c>
      <c r="J106" s="12">
        <f>0.5*$B$40*C106^2</f>
        <v/>
      </c>
      <c r="K106" s="12">
        <f>$B$24*J106*$B$19</f>
        <v/>
      </c>
      <c r="L106" s="12">
        <f>$B$33^2/(J106*$B$19*PI()*$B$43*$B$25)</f>
        <v/>
      </c>
      <c r="M106" s="19">
        <f>K106+L106</f>
        <v/>
      </c>
      <c r="N106" s="19">
        <f>(I106-M106)*C106/$B$33*60</f>
        <v/>
      </c>
      <c r="O106" s="12">
        <f>DEGREES(ASIN(MIN(1,MAX(-1,(I106-M106)/$B$33))))</f>
        <v/>
      </c>
      <c r="P106" s="19">
        <f>M106*C106/$B$33*60</f>
        <v/>
      </c>
      <c r="Q106" s="12">
        <f>DEGREES(ASIN(MIN(1,MAX(-1,M106/$B$33))))</f>
        <v/>
      </c>
    </row>
    <row r="107">
      <c r="A107" s="36" t="n">
        <v>66</v>
      </c>
      <c r="B107" s="19">
        <f>A107/SQRT($B$39)</f>
        <v/>
      </c>
      <c r="C107" s="12">
        <f>B107/0.5924838</f>
        <v/>
      </c>
      <c r="D107" s="18">
        <f>C107/($B$46*$B$23)</f>
        <v/>
      </c>
      <c r="E107" s="18">
        <f>D107/$B$47^(1/3)</f>
        <v/>
      </c>
      <c r="F107" s="15">
        <f>INDEX($C$6:$J$6,1,$B$49)+E107*(INDEX($C$7:$J$7,1,$B$49)+E107*(INDEX($C$8:$J$8,1,$B$49)+E107*(INDEX($C$9:$J$9,1,$B$49)+E107*(INDEX($C$10:$J$10,1,$B$49)+E107*(INDEX($C$11:$J$11,1,$B$49)+E107*(INDEX($C$12:$J$12,1,$B$49)))))))</f>
        <v/>
      </c>
      <c r="G107" s="15">
        <f>INDEX($C$6:$J$6,1,$B$49+1)+E107*(INDEX($C$7:$J$7,1,$B$49+1)+E107*(INDEX($C$8:$J$8,1,$B$49+1)+E107*(INDEX($C$9:$J$9,1,$B$49+1)+E107*(INDEX($C$10:$J$10,1,$B$49+1)+E107*(INDEX($C$11:$J$11,1,$B$49+1)+E107*(INDEX($C$12:$J$12,1,$B$49+1)))))))</f>
        <v/>
      </c>
      <c r="H107" s="18">
        <f>$B$44*(F107+$B$52*(G107-F107))</f>
        <v/>
      </c>
      <c r="I107" s="19">
        <f>H107*$B$45/C107</f>
        <v/>
      </c>
      <c r="J107" s="12">
        <f>0.5*$B$40*C107^2</f>
        <v/>
      </c>
      <c r="K107" s="12">
        <f>$B$24*J107*$B$19</f>
        <v/>
      </c>
      <c r="L107" s="12">
        <f>$B$33^2/(J107*$B$19*PI()*$B$43*$B$25)</f>
        <v/>
      </c>
      <c r="M107" s="19">
        <f>K107+L107</f>
        <v/>
      </c>
      <c r="N107" s="19">
        <f>(I107-M107)*C107/$B$33*60</f>
        <v/>
      </c>
      <c r="O107" s="12">
        <f>DEGREES(ASIN(MIN(1,MAX(-1,(I107-M107)/$B$33))))</f>
        <v/>
      </c>
      <c r="P107" s="19">
        <f>M107*C107/$B$33*60</f>
        <v/>
      </c>
      <c r="Q107" s="12">
        <f>DEGREES(ASIN(MIN(1,MAX(-1,M107/$B$33))))</f>
        <v/>
      </c>
    </row>
    <row r="108">
      <c r="A108" s="36" t="n">
        <v>66.5</v>
      </c>
      <c r="B108" s="19">
        <f>A108/SQRT($B$39)</f>
        <v/>
      </c>
      <c r="C108" s="12">
        <f>B108/0.5924838</f>
        <v/>
      </c>
      <c r="D108" s="18">
        <f>C108/($B$46*$B$23)</f>
        <v/>
      </c>
      <c r="E108" s="18">
        <f>D108/$B$47^(1/3)</f>
        <v/>
      </c>
      <c r="F108" s="15">
        <f>INDEX($C$6:$J$6,1,$B$49)+E108*(INDEX($C$7:$J$7,1,$B$49)+E108*(INDEX($C$8:$J$8,1,$B$49)+E108*(INDEX($C$9:$J$9,1,$B$49)+E108*(INDEX($C$10:$J$10,1,$B$49)+E108*(INDEX($C$11:$J$11,1,$B$49)+E108*(INDEX($C$12:$J$12,1,$B$49)))))))</f>
        <v/>
      </c>
      <c r="G108" s="15">
        <f>INDEX($C$6:$J$6,1,$B$49+1)+E108*(INDEX($C$7:$J$7,1,$B$49+1)+E108*(INDEX($C$8:$J$8,1,$B$49+1)+E108*(INDEX($C$9:$J$9,1,$B$49+1)+E108*(INDEX($C$10:$J$10,1,$B$49+1)+E108*(INDEX($C$11:$J$11,1,$B$49+1)+E108*(INDEX($C$12:$J$12,1,$B$49+1)))))))</f>
        <v/>
      </c>
      <c r="H108" s="18">
        <f>$B$44*(F108+$B$52*(G108-F108))</f>
        <v/>
      </c>
      <c r="I108" s="19">
        <f>H108*$B$45/C108</f>
        <v/>
      </c>
      <c r="J108" s="12">
        <f>0.5*$B$40*C108^2</f>
        <v/>
      </c>
      <c r="K108" s="12">
        <f>$B$24*J108*$B$19</f>
        <v/>
      </c>
      <c r="L108" s="12">
        <f>$B$33^2/(J108*$B$19*PI()*$B$43*$B$25)</f>
        <v/>
      </c>
      <c r="M108" s="19">
        <f>K108+L108</f>
        <v/>
      </c>
      <c r="N108" s="19">
        <f>(I108-M108)*C108/$B$33*60</f>
        <v/>
      </c>
      <c r="O108" s="12">
        <f>DEGREES(ASIN(MIN(1,MAX(-1,(I108-M108)/$B$33))))</f>
        <v/>
      </c>
      <c r="P108" s="19">
        <f>M108*C108/$B$33*60</f>
        <v/>
      </c>
      <c r="Q108" s="12">
        <f>DEGREES(ASIN(MIN(1,MAX(-1,M108/$B$33))))</f>
        <v/>
      </c>
    </row>
    <row r="109">
      <c r="A109" s="36" t="n">
        <v>67</v>
      </c>
      <c r="B109" s="19">
        <f>A109/SQRT($B$39)</f>
        <v/>
      </c>
      <c r="C109" s="12">
        <f>B109/0.5924838</f>
        <v/>
      </c>
      <c r="D109" s="18">
        <f>C109/($B$46*$B$23)</f>
        <v/>
      </c>
      <c r="E109" s="18">
        <f>D109/$B$47^(1/3)</f>
        <v/>
      </c>
      <c r="F109" s="15">
        <f>INDEX($C$6:$J$6,1,$B$49)+E109*(INDEX($C$7:$J$7,1,$B$49)+E109*(INDEX($C$8:$J$8,1,$B$49)+E109*(INDEX($C$9:$J$9,1,$B$49)+E109*(INDEX($C$10:$J$10,1,$B$49)+E109*(INDEX($C$11:$J$11,1,$B$49)+E109*(INDEX($C$12:$J$12,1,$B$49)))))))</f>
        <v/>
      </c>
      <c r="G109" s="15">
        <f>INDEX($C$6:$J$6,1,$B$49+1)+E109*(INDEX($C$7:$J$7,1,$B$49+1)+E109*(INDEX($C$8:$J$8,1,$B$49+1)+E109*(INDEX($C$9:$J$9,1,$B$49+1)+E109*(INDEX($C$10:$J$10,1,$B$49+1)+E109*(INDEX($C$11:$J$11,1,$B$49+1)+E109*(INDEX($C$12:$J$12,1,$B$49+1)))))))</f>
        <v/>
      </c>
      <c r="H109" s="18">
        <f>$B$44*(F109+$B$52*(G109-F109))</f>
        <v/>
      </c>
      <c r="I109" s="19">
        <f>H109*$B$45/C109</f>
        <v/>
      </c>
      <c r="J109" s="12">
        <f>0.5*$B$40*C109^2</f>
        <v/>
      </c>
      <c r="K109" s="12">
        <f>$B$24*J109*$B$19</f>
        <v/>
      </c>
      <c r="L109" s="12">
        <f>$B$33^2/(J109*$B$19*PI()*$B$43*$B$25)</f>
        <v/>
      </c>
      <c r="M109" s="19">
        <f>K109+L109</f>
        <v/>
      </c>
      <c r="N109" s="19">
        <f>(I109-M109)*C109/$B$33*60</f>
        <v/>
      </c>
      <c r="O109" s="12">
        <f>DEGREES(ASIN(MIN(1,MAX(-1,(I109-M109)/$B$33))))</f>
        <v/>
      </c>
      <c r="P109" s="19">
        <f>M109*C109/$B$33*60</f>
        <v/>
      </c>
      <c r="Q109" s="12">
        <f>DEGREES(ASIN(MIN(1,MAX(-1,M109/$B$33))))</f>
        <v/>
      </c>
    </row>
    <row r="110">
      <c r="A110" s="36" t="n">
        <v>67.5</v>
      </c>
      <c r="B110" s="19">
        <f>A110/SQRT($B$39)</f>
        <v/>
      </c>
      <c r="C110" s="12">
        <f>B110/0.5924838</f>
        <v/>
      </c>
      <c r="D110" s="18">
        <f>C110/($B$46*$B$23)</f>
        <v/>
      </c>
      <c r="E110" s="18">
        <f>D110/$B$47^(1/3)</f>
        <v/>
      </c>
      <c r="F110" s="15">
        <f>INDEX($C$6:$J$6,1,$B$49)+E110*(INDEX($C$7:$J$7,1,$B$49)+E110*(INDEX($C$8:$J$8,1,$B$49)+E110*(INDEX($C$9:$J$9,1,$B$49)+E110*(INDEX($C$10:$J$10,1,$B$49)+E110*(INDEX($C$11:$J$11,1,$B$49)+E110*(INDEX($C$12:$J$12,1,$B$49)))))))</f>
        <v/>
      </c>
      <c r="G110" s="15">
        <f>INDEX($C$6:$J$6,1,$B$49+1)+E110*(INDEX($C$7:$J$7,1,$B$49+1)+E110*(INDEX($C$8:$J$8,1,$B$49+1)+E110*(INDEX($C$9:$J$9,1,$B$49+1)+E110*(INDEX($C$10:$J$10,1,$B$49+1)+E110*(INDEX($C$11:$J$11,1,$B$49+1)+E110*(INDEX($C$12:$J$12,1,$B$49+1)))))))</f>
        <v/>
      </c>
      <c r="H110" s="18">
        <f>$B$44*(F110+$B$52*(G110-F110))</f>
        <v/>
      </c>
      <c r="I110" s="19">
        <f>H110*$B$45/C110</f>
        <v/>
      </c>
      <c r="J110" s="12">
        <f>0.5*$B$40*C110^2</f>
        <v/>
      </c>
      <c r="K110" s="12">
        <f>$B$24*J110*$B$19</f>
        <v/>
      </c>
      <c r="L110" s="12">
        <f>$B$33^2/(J110*$B$19*PI()*$B$43*$B$25)</f>
        <v/>
      </c>
      <c r="M110" s="19">
        <f>K110+L110</f>
        <v/>
      </c>
      <c r="N110" s="19">
        <f>(I110-M110)*C110/$B$33*60</f>
        <v/>
      </c>
      <c r="O110" s="12">
        <f>DEGREES(ASIN(MIN(1,MAX(-1,(I110-M110)/$B$33))))</f>
        <v/>
      </c>
      <c r="P110" s="19">
        <f>M110*C110/$B$33*60</f>
        <v/>
      </c>
      <c r="Q110" s="12">
        <f>DEGREES(ASIN(MIN(1,MAX(-1,M110/$B$33))))</f>
        <v/>
      </c>
    </row>
    <row r="111">
      <c r="A111" s="36" t="n">
        <v>68</v>
      </c>
      <c r="B111" s="19">
        <f>A111/SQRT($B$39)</f>
        <v/>
      </c>
      <c r="C111" s="12">
        <f>B111/0.5924838</f>
        <v/>
      </c>
      <c r="D111" s="18">
        <f>C111/($B$46*$B$23)</f>
        <v/>
      </c>
      <c r="E111" s="18">
        <f>D111/$B$47^(1/3)</f>
        <v/>
      </c>
      <c r="F111" s="15">
        <f>INDEX($C$6:$J$6,1,$B$49)+E111*(INDEX($C$7:$J$7,1,$B$49)+E111*(INDEX($C$8:$J$8,1,$B$49)+E111*(INDEX($C$9:$J$9,1,$B$49)+E111*(INDEX($C$10:$J$10,1,$B$49)+E111*(INDEX($C$11:$J$11,1,$B$49)+E111*(INDEX($C$12:$J$12,1,$B$49)))))))</f>
        <v/>
      </c>
      <c r="G111" s="15">
        <f>INDEX($C$6:$J$6,1,$B$49+1)+E111*(INDEX($C$7:$J$7,1,$B$49+1)+E111*(INDEX($C$8:$J$8,1,$B$49+1)+E111*(INDEX($C$9:$J$9,1,$B$49+1)+E111*(INDEX($C$10:$J$10,1,$B$49+1)+E111*(INDEX($C$11:$J$11,1,$B$49+1)+E111*(INDEX($C$12:$J$12,1,$B$49+1)))))))</f>
        <v/>
      </c>
      <c r="H111" s="18">
        <f>$B$44*(F111+$B$52*(G111-F111))</f>
        <v/>
      </c>
      <c r="I111" s="19">
        <f>H111*$B$45/C111</f>
        <v/>
      </c>
      <c r="J111" s="12">
        <f>0.5*$B$40*C111^2</f>
        <v/>
      </c>
      <c r="K111" s="12">
        <f>$B$24*J111*$B$19</f>
        <v/>
      </c>
      <c r="L111" s="12">
        <f>$B$33^2/(J111*$B$19*PI()*$B$43*$B$25)</f>
        <v/>
      </c>
      <c r="M111" s="19">
        <f>K111+L111</f>
        <v/>
      </c>
      <c r="N111" s="19">
        <f>(I111-M111)*C111/$B$33*60</f>
        <v/>
      </c>
      <c r="O111" s="12">
        <f>DEGREES(ASIN(MIN(1,MAX(-1,(I111-M111)/$B$33))))</f>
        <v/>
      </c>
      <c r="P111" s="19">
        <f>M111*C111/$B$33*60</f>
        <v/>
      </c>
      <c r="Q111" s="12">
        <f>DEGREES(ASIN(MIN(1,MAX(-1,M111/$B$33))))</f>
        <v/>
      </c>
    </row>
    <row r="112">
      <c r="A112" s="36" t="n">
        <v>68.5</v>
      </c>
      <c r="B112" s="19">
        <f>A112/SQRT($B$39)</f>
        <v/>
      </c>
      <c r="C112" s="12">
        <f>B112/0.5924838</f>
        <v/>
      </c>
      <c r="D112" s="18">
        <f>C112/($B$46*$B$23)</f>
        <v/>
      </c>
      <c r="E112" s="18">
        <f>D112/$B$47^(1/3)</f>
        <v/>
      </c>
      <c r="F112" s="15">
        <f>INDEX($C$6:$J$6,1,$B$49)+E112*(INDEX($C$7:$J$7,1,$B$49)+E112*(INDEX($C$8:$J$8,1,$B$49)+E112*(INDEX($C$9:$J$9,1,$B$49)+E112*(INDEX($C$10:$J$10,1,$B$49)+E112*(INDEX($C$11:$J$11,1,$B$49)+E112*(INDEX($C$12:$J$12,1,$B$49)))))))</f>
        <v/>
      </c>
      <c r="G112" s="15">
        <f>INDEX($C$6:$J$6,1,$B$49+1)+E112*(INDEX($C$7:$J$7,1,$B$49+1)+E112*(INDEX($C$8:$J$8,1,$B$49+1)+E112*(INDEX($C$9:$J$9,1,$B$49+1)+E112*(INDEX($C$10:$J$10,1,$B$49+1)+E112*(INDEX($C$11:$J$11,1,$B$49+1)+E112*(INDEX($C$12:$J$12,1,$B$49+1)))))))</f>
        <v/>
      </c>
      <c r="H112" s="18">
        <f>$B$44*(F112+$B$52*(G112-F112))</f>
        <v/>
      </c>
      <c r="I112" s="19">
        <f>H112*$B$45/C112</f>
        <v/>
      </c>
      <c r="J112" s="12">
        <f>0.5*$B$40*C112^2</f>
        <v/>
      </c>
      <c r="K112" s="12">
        <f>$B$24*J112*$B$19</f>
        <v/>
      </c>
      <c r="L112" s="12">
        <f>$B$33^2/(J112*$B$19*PI()*$B$43*$B$25)</f>
        <v/>
      </c>
      <c r="M112" s="19">
        <f>K112+L112</f>
        <v/>
      </c>
      <c r="N112" s="19">
        <f>(I112-M112)*C112/$B$33*60</f>
        <v/>
      </c>
      <c r="O112" s="12">
        <f>DEGREES(ASIN(MIN(1,MAX(-1,(I112-M112)/$B$33))))</f>
        <v/>
      </c>
      <c r="P112" s="19">
        <f>M112*C112/$B$33*60</f>
        <v/>
      </c>
      <c r="Q112" s="12">
        <f>DEGREES(ASIN(MIN(1,MAX(-1,M112/$B$33))))</f>
        <v/>
      </c>
    </row>
    <row r="113">
      <c r="A113" s="36" t="n">
        <v>69</v>
      </c>
      <c r="B113" s="19">
        <f>A113/SQRT($B$39)</f>
        <v/>
      </c>
      <c r="C113" s="12">
        <f>B113/0.5924838</f>
        <v/>
      </c>
      <c r="D113" s="18">
        <f>C113/($B$46*$B$23)</f>
        <v/>
      </c>
      <c r="E113" s="18">
        <f>D113/$B$47^(1/3)</f>
        <v/>
      </c>
      <c r="F113" s="15">
        <f>INDEX($C$6:$J$6,1,$B$49)+E113*(INDEX($C$7:$J$7,1,$B$49)+E113*(INDEX($C$8:$J$8,1,$B$49)+E113*(INDEX($C$9:$J$9,1,$B$49)+E113*(INDEX($C$10:$J$10,1,$B$49)+E113*(INDEX($C$11:$J$11,1,$B$49)+E113*(INDEX($C$12:$J$12,1,$B$49)))))))</f>
        <v/>
      </c>
      <c r="G113" s="15">
        <f>INDEX($C$6:$J$6,1,$B$49+1)+E113*(INDEX($C$7:$J$7,1,$B$49+1)+E113*(INDEX($C$8:$J$8,1,$B$49+1)+E113*(INDEX($C$9:$J$9,1,$B$49+1)+E113*(INDEX($C$10:$J$10,1,$B$49+1)+E113*(INDEX($C$11:$J$11,1,$B$49+1)+E113*(INDEX($C$12:$J$12,1,$B$49+1)))))))</f>
        <v/>
      </c>
      <c r="H113" s="18">
        <f>$B$44*(F113+$B$52*(G113-F113))</f>
        <v/>
      </c>
      <c r="I113" s="19">
        <f>H113*$B$45/C113</f>
        <v/>
      </c>
      <c r="J113" s="12">
        <f>0.5*$B$40*C113^2</f>
        <v/>
      </c>
      <c r="K113" s="12">
        <f>$B$24*J113*$B$19</f>
        <v/>
      </c>
      <c r="L113" s="12">
        <f>$B$33^2/(J113*$B$19*PI()*$B$43*$B$25)</f>
        <v/>
      </c>
      <c r="M113" s="19">
        <f>K113+L113</f>
        <v/>
      </c>
      <c r="N113" s="19">
        <f>(I113-M113)*C113/$B$33*60</f>
        <v/>
      </c>
      <c r="O113" s="12">
        <f>DEGREES(ASIN(MIN(1,MAX(-1,(I113-M113)/$B$33))))</f>
        <v/>
      </c>
      <c r="P113" s="19">
        <f>M113*C113/$B$33*60</f>
        <v/>
      </c>
      <c r="Q113" s="12">
        <f>DEGREES(ASIN(MIN(1,MAX(-1,M113/$B$33))))</f>
        <v/>
      </c>
    </row>
    <row r="114">
      <c r="A114" s="36" t="n">
        <v>69.5</v>
      </c>
      <c r="B114" s="19">
        <f>A114/SQRT($B$39)</f>
        <v/>
      </c>
      <c r="C114" s="12">
        <f>B114/0.5924838</f>
        <v/>
      </c>
      <c r="D114" s="18">
        <f>C114/($B$46*$B$23)</f>
        <v/>
      </c>
      <c r="E114" s="18">
        <f>D114/$B$47^(1/3)</f>
        <v/>
      </c>
      <c r="F114" s="15">
        <f>INDEX($C$6:$J$6,1,$B$49)+E114*(INDEX($C$7:$J$7,1,$B$49)+E114*(INDEX($C$8:$J$8,1,$B$49)+E114*(INDEX($C$9:$J$9,1,$B$49)+E114*(INDEX($C$10:$J$10,1,$B$49)+E114*(INDEX($C$11:$J$11,1,$B$49)+E114*(INDEX($C$12:$J$12,1,$B$49)))))))</f>
        <v/>
      </c>
      <c r="G114" s="15">
        <f>INDEX($C$6:$J$6,1,$B$49+1)+E114*(INDEX($C$7:$J$7,1,$B$49+1)+E114*(INDEX($C$8:$J$8,1,$B$49+1)+E114*(INDEX($C$9:$J$9,1,$B$49+1)+E114*(INDEX($C$10:$J$10,1,$B$49+1)+E114*(INDEX($C$11:$J$11,1,$B$49+1)+E114*(INDEX($C$12:$J$12,1,$B$49+1)))))))</f>
        <v/>
      </c>
      <c r="H114" s="18">
        <f>$B$44*(F114+$B$52*(G114-F114))</f>
        <v/>
      </c>
      <c r="I114" s="19">
        <f>H114*$B$45/C114</f>
        <v/>
      </c>
      <c r="J114" s="12">
        <f>0.5*$B$40*C114^2</f>
        <v/>
      </c>
      <c r="K114" s="12">
        <f>$B$24*J114*$B$19</f>
        <v/>
      </c>
      <c r="L114" s="12">
        <f>$B$33^2/(J114*$B$19*PI()*$B$43*$B$25)</f>
        <v/>
      </c>
      <c r="M114" s="19">
        <f>K114+L114</f>
        <v/>
      </c>
      <c r="N114" s="19">
        <f>(I114-M114)*C114/$B$33*60</f>
        <v/>
      </c>
      <c r="O114" s="12">
        <f>DEGREES(ASIN(MIN(1,MAX(-1,(I114-M114)/$B$33))))</f>
        <v/>
      </c>
      <c r="P114" s="19">
        <f>M114*C114/$B$33*60</f>
        <v/>
      </c>
      <c r="Q114" s="12">
        <f>DEGREES(ASIN(MIN(1,MAX(-1,M114/$B$33))))</f>
        <v/>
      </c>
    </row>
    <row r="115">
      <c r="A115" s="36" t="n">
        <v>70</v>
      </c>
      <c r="B115" s="19">
        <f>A115/SQRT($B$39)</f>
        <v/>
      </c>
      <c r="C115" s="12">
        <f>B115/0.5924838</f>
        <v/>
      </c>
      <c r="D115" s="18">
        <f>C115/($B$46*$B$23)</f>
        <v/>
      </c>
      <c r="E115" s="18">
        <f>D115/$B$47^(1/3)</f>
        <v/>
      </c>
      <c r="F115" s="15">
        <f>INDEX($C$6:$J$6,1,$B$49)+E115*(INDEX($C$7:$J$7,1,$B$49)+E115*(INDEX($C$8:$J$8,1,$B$49)+E115*(INDEX($C$9:$J$9,1,$B$49)+E115*(INDEX($C$10:$J$10,1,$B$49)+E115*(INDEX($C$11:$J$11,1,$B$49)+E115*(INDEX($C$12:$J$12,1,$B$49)))))))</f>
        <v/>
      </c>
      <c r="G115" s="15">
        <f>INDEX($C$6:$J$6,1,$B$49+1)+E115*(INDEX($C$7:$J$7,1,$B$49+1)+E115*(INDEX($C$8:$J$8,1,$B$49+1)+E115*(INDEX($C$9:$J$9,1,$B$49+1)+E115*(INDEX($C$10:$J$10,1,$B$49+1)+E115*(INDEX($C$11:$J$11,1,$B$49+1)+E115*(INDEX($C$12:$J$12,1,$B$49+1)))))))</f>
        <v/>
      </c>
      <c r="H115" s="18">
        <f>$B$44*(F115+$B$52*(G115-F115))</f>
        <v/>
      </c>
      <c r="I115" s="19">
        <f>H115*$B$45/C115</f>
        <v/>
      </c>
      <c r="J115" s="12">
        <f>0.5*$B$40*C115^2</f>
        <v/>
      </c>
      <c r="K115" s="12">
        <f>$B$24*J115*$B$19</f>
        <v/>
      </c>
      <c r="L115" s="12">
        <f>$B$33^2/(J115*$B$19*PI()*$B$43*$B$25)</f>
        <v/>
      </c>
      <c r="M115" s="19">
        <f>K115+L115</f>
        <v/>
      </c>
      <c r="N115" s="19">
        <f>(I115-M115)*C115/$B$33*60</f>
        <v/>
      </c>
      <c r="O115" s="12">
        <f>DEGREES(ASIN(MIN(1,MAX(-1,(I115-M115)/$B$33))))</f>
        <v/>
      </c>
      <c r="P115" s="19">
        <f>M115*C115/$B$33*60</f>
        <v/>
      </c>
      <c r="Q115" s="12">
        <f>DEGREES(ASIN(MIN(1,MAX(-1,M115/$B$33))))</f>
        <v/>
      </c>
    </row>
    <row r="116">
      <c r="A116" s="36" t="n">
        <v>70.5</v>
      </c>
      <c r="B116" s="19">
        <f>A116/SQRT($B$39)</f>
        <v/>
      </c>
      <c r="C116" s="12">
        <f>B116/0.5924838</f>
        <v/>
      </c>
      <c r="D116" s="18">
        <f>C116/($B$46*$B$23)</f>
        <v/>
      </c>
      <c r="E116" s="18">
        <f>D116/$B$47^(1/3)</f>
        <v/>
      </c>
      <c r="F116" s="15">
        <f>INDEX($C$6:$J$6,1,$B$49)+E116*(INDEX($C$7:$J$7,1,$B$49)+E116*(INDEX($C$8:$J$8,1,$B$49)+E116*(INDEX($C$9:$J$9,1,$B$49)+E116*(INDEX($C$10:$J$10,1,$B$49)+E116*(INDEX($C$11:$J$11,1,$B$49)+E116*(INDEX($C$12:$J$12,1,$B$49)))))))</f>
        <v/>
      </c>
      <c r="G116" s="15">
        <f>INDEX($C$6:$J$6,1,$B$49+1)+E116*(INDEX($C$7:$J$7,1,$B$49+1)+E116*(INDEX($C$8:$J$8,1,$B$49+1)+E116*(INDEX($C$9:$J$9,1,$B$49+1)+E116*(INDEX($C$10:$J$10,1,$B$49+1)+E116*(INDEX($C$11:$J$11,1,$B$49+1)+E116*(INDEX($C$12:$J$12,1,$B$49+1)))))))</f>
        <v/>
      </c>
      <c r="H116" s="18">
        <f>$B$44*(F116+$B$52*(G116-F116))</f>
        <v/>
      </c>
      <c r="I116" s="19">
        <f>H116*$B$45/C116</f>
        <v/>
      </c>
      <c r="J116" s="12">
        <f>0.5*$B$40*C116^2</f>
        <v/>
      </c>
      <c r="K116" s="12">
        <f>$B$24*J116*$B$19</f>
        <v/>
      </c>
      <c r="L116" s="12">
        <f>$B$33^2/(J116*$B$19*PI()*$B$43*$B$25)</f>
        <v/>
      </c>
      <c r="M116" s="19">
        <f>K116+L116</f>
        <v/>
      </c>
      <c r="N116" s="19">
        <f>(I116-M116)*C116/$B$33*60</f>
        <v/>
      </c>
      <c r="O116" s="12">
        <f>DEGREES(ASIN(MIN(1,MAX(-1,(I116-M116)/$B$33))))</f>
        <v/>
      </c>
      <c r="P116" s="19">
        <f>M116*C116/$B$33*60</f>
        <v/>
      </c>
      <c r="Q116" s="12">
        <f>DEGREES(ASIN(MIN(1,MAX(-1,M116/$B$33))))</f>
        <v/>
      </c>
    </row>
    <row r="117">
      <c r="A117" s="36" t="n">
        <v>71</v>
      </c>
      <c r="B117" s="19">
        <f>A117/SQRT($B$39)</f>
        <v/>
      </c>
      <c r="C117" s="12">
        <f>B117/0.5924838</f>
        <v/>
      </c>
      <c r="D117" s="18">
        <f>C117/($B$46*$B$23)</f>
        <v/>
      </c>
      <c r="E117" s="18">
        <f>D117/$B$47^(1/3)</f>
        <v/>
      </c>
      <c r="F117" s="15">
        <f>INDEX($C$6:$J$6,1,$B$49)+E117*(INDEX($C$7:$J$7,1,$B$49)+E117*(INDEX($C$8:$J$8,1,$B$49)+E117*(INDEX($C$9:$J$9,1,$B$49)+E117*(INDEX($C$10:$J$10,1,$B$49)+E117*(INDEX($C$11:$J$11,1,$B$49)+E117*(INDEX($C$12:$J$12,1,$B$49)))))))</f>
        <v/>
      </c>
      <c r="G117" s="15">
        <f>INDEX($C$6:$J$6,1,$B$49+1)+E117*(INDEX($C$7:$J$7,1,$B$49+1)+E117*(INDEX($C$8:$J$8,1,$B$49+1)+E117*(INDEX($C$9:$J$9,1,$B$49+1)+E117*(INDEX($C$10:$J$10,1,$B$49+1)+E117*(INDEX($C$11:$J$11,1,$B$49+1)+E117*(INDEX($C$12:$J$12,1,$B$49+1)))))))</f>
        <v/>
      </c>
      <c r="H117" s="18">
        <f>$B$44*(F117+$B$52*(G117-F117))</f>
        <v/>
      </c>
      <c r="I117" s="19">
        <f>H117*$B$45/C117</f>
        <v/>
      </c>
      <c r="J117" s="12">
        <f>0.5*$B$40*C117^2</f>
        <v/>
      </c>
      <c r="K117" s="12">
        <f>$B$24*J117*$B$19</f>
        <v/>
      </c>
      <c r="L117" s="12">
        <f>$B$33^2/(J117*$B$19*PI()*$B$43*$B$25)</f>
        <v/>
      </c>
      <c r="M117" s="19">
        <f>K117+L117</f>
        <v/>
      </c>
      <c r="N117" s="19">
        <f>(I117-M117)*C117/$B$33*60</f>
        <v/>
      </c>
      <c r="O117" s="12">
        <f>DEGREES(ASIN(MIN(1,MAX(-1,(I117-M117)/$B$33))))</f>
        <v/>
      </c>
      <c r="P117" s="19">
        <f>M117*C117/$B$33*60</f>
        <v/>
      </c>
      <c r="Q117" s="12">
        <f>DEGREES(ASIN(MIN(1,MAX(-1,M117/$B$33))))</f>
        <v/>
      </c>
    </row>
    <row r="118">
      <c r="A118" s="36" t="n">
        <v>71.5</v>
      </c>
      <c r="B118" s="19">
        <f>A118/SQRT($B$39)</f>
        <v/>
      </c>
      <c r="C118" s="12">
        <f>B118/0.5924838</f>
        <v/>
      </c>
      <c r="D118" s="18">
        <f>C118/($B$46*$B$23)</f>
        <v/>
      </c>
      <c r="E118" s="18">
        <f>D118/$B$47^(1/3)</f>
        <v/>
      </c>
      <c r="F118" s="15">
        <f>INDEX($C$6:$J$6,1,$B$49)+E118*(INDEX($C$7:$J$7,1,$B$49)+E118*(INDEX($C$8:$J$8,1,$B$49)+E118*(INDEX($C$9:$J$9,1,$B$49)+E118*(INDEX($C$10:$J$10,1,$B$49)+E118*(INDEX($C$11:$J$11,1,$B$49)+E118*(INDEX($C$12:$J$12,1,$B$49)))))))</f>
        <v/>
      </c>
      <c r="G118" s="15">
        <f>INDEX($C$6:$J$6,1,$B$49+1)+E118*(INDEX($C$7:$J$7,1,$B$49+1)+E118*(INDEX($C$8:$J$8,1,$B$49+1)+E118*(INDEX($C$9:$J$9,1,$B$49+1)+E118*(INDEX($C$10:$J$10,1,$B$49+1)+E118*(INDEX($C$11:$J$11,1,$B$49+1)+E118*(INDEX($C$12:$J$12,1,$B$49+1)))))))</f>
        <v/>
      </c>
      <c r="H118" s="18">
        <f>$B$44*(F118+$B$52*(G118-F118))</f>
        <v/>
      </c>
      <c r="I118" s="19">
        <f>H118*$B$45/C118</f>
        <v/>
      </c>
      <c r="J118" s="12">
        <f>0.5*$B$40*C118^2</f>
        <v/>
      </c>
      <c r="K118" s="12">
        <f>$B$24*J118*$B$19</f>
        <v/>
      </c>
      <c r="L118" s="12">
        <f>$B$33^2/(J118*$B$19*PI()*$B$43*$B$25)</f>
        <v/>
      </c>
      <c r="M118" s="19">
        <f>K118+L118</f>
        <v/>
      </c>
      <c r="N118" s="19">
        <f>(I118-M118)*C118/$B$33*60</f>
        <v/>
      </c>
      <c r="O118" s="12">
        <f>DEGREES(ASIN(MIN(1,MAX(-1,(I118-M118)/$B$33))))</f>
        <v/>
      </c>
      <c r="P118" s="19">
        <f>M118*C118/$B$33*60</f>
        <v/>
      </c>
      <c r="Q118" s="12">
        <f>DEGREES(ASIN(MIN(1,MAX(-1,M118/$B$33))))</f>
        <v/>
      </c>
    </row>
    <row r="119">
      <c r="A119" s="36" t="n">
        <v>72</v>
      </c>
      <c r="B119" s="19">
        <f>A119/SQRT($B$39)</f>
        <v/>
      </c>
      <c r="C119" s="12">
        <f>B119/0.5924838</f>
        <v/>
      </c>
      <c r="D119" s="18">
        <f>C119/($B$46*$B$23)</f>
        <v/>
      </c>
      <c r="E119" s="18">
        <f>D119/$B$47^(1/3)</f>
        <v/>
      </c>
      <c r="F119" s="15">
        <f>INDEX($C$6:$J$6,1,$B$49)+E119*(INDEX($C$7:$J$7,1,$B$49)+E119*(INDEX($C$8:$J$8,1,$B$49)+E119*(INDEX($C$9:$J$9,1,$B$49)+E119*(INDEX($C$10:$J$10,1,$B$49)+E119*(INDEX($C$11:$J$11,1,$B$49)+E119*(INDEX($C$12:$J$12,1,$B$49)))))))</f>
        <v/>
      </c>
      <c r="G119" s="15">
        <f>INDEX($C$6:$J$6,1,$B$49+1)+E119*(INDEX($C$7:$J$7,1,$B$49+1)+E119*(INDEX($C$8:$J$8,1,$B$49+1)+E119*(INDEX($C$9:$J$9,1,$B$49+1)+E119*(INDEX($C$10:$J$10,1,$B$49+1)+E119*(INDEX($C$11:$J$11,1,$B$49+1)+E119*(INDEX($C$12:$J$12,1,$B$49+1)))))))</f>
        <v/>
      </c>
      <c r="H119" s="18">
        <f>$B$44*(F119+$B$52*(G119-F119))</f>
        <v/>
      </c>
      <c r="I119" s="19">
        <f>H119*$B$45/C119</f>
        <v/>
      </c>
      <c r="J119" s="12">
        <f>0.5*$B$40*C119^2</f>
        <v/>
      </c>
      <c r="K119" s="12">
        <f>$B$24*J119*$B$19</f>
        <v/>
      </c>
      <c r="L119" s="12">
        <f>$B$33^2/(J119*$B$19*PI()*$B$43*$B$25)</f>
        <v/>
      </c>
      <c r="M119" s="19">
        <f>K119+L119</f>
        <v/>
      </c>
      <c r="N119" s="19">
        <f>(I119-M119)*C119/$B$33*60</f>
        <v/>
      </c>
      <c r="O119" s="12">
        <f>DEGREES(ASIN(MIN(1,MAX(-1,(I119-M119)/$B$33))))</f>
        <v/>
      </c>
      <c r="P119" s="19">
        <f>M119*C119/$B$33*60</f>
        <v/>
      </c>
      <c r="Q119" s="12">
        <f>DEGREES(ASIN(MIN(1,MAX(-1,M119/$B$33))))</f>
        <v/>
      </c>
    </row>
    <row r="120">
      <c r="A120" s="36" t="n">
        <v>72.5</v>
      </c>
      <c r="B120" s="19">
        <f>A120/SQRT($B$39)</f>
        <v/>
      </c>
      <c r="C120" s="12">
        <f>B120/0.5924838</f>
        <v/>
      </c>
      <c r="D120" s="18">
        <f>C120/($B$46*$B$23)</f>
        <v/>
      </c>
      <c r="E120" s="18">
        <f>D120/$B$47^(1/3)</f>
        <v/>
      </c>
      <c r="F120" s="15">
        <f>INDEX($C$6:$J$6,1,$B$49)+E120*(INDEX($C$7:$J$7,1,$B$49)+E120*(INDEX($C$8:$J$8,1,$B$49)+E120*(INDEX($C$9:$J$9,1,$B$49)+E120*(INDEX($C$10:$J$10,1,$B$49)+E120*(INDEX($C$11:$J$11,1,$B$49)+E120*(INDEX($C$12:$J$12,1,$B$49)))))))</f>
        <v/>
      </c>
      <c r="G120" s="15">
        <f>INDEX($C$6:$J$6,1,$B$49+1)+E120*(INDEX($C$7:$J$7,1,$B$49+1)+E120*(INDEX($C$8:$J$8,1,$B$49+1)+E120*(INDEX($C$9:$J$9,1,$B$49+1)+E120*(INDEX($C$10:$J$10,1,$B$49+1)+E120*(INDEX($C$11:$J$11,1,$B$49+1)+E120*(INDEX($C$12:$J$12,1,$B$49+1)))))))</f>
        <v/>
      </c>
      <c r="H120" s="18">
        <f>$B$44*(F120+$B$52*(G120-F120))</f>
        <v/>
      </c>
      <c r="I120" s="19">
        <f>H120*$B$45/C120</f>
        <v/>
      </c>
      <c r="J120" s="12">
        <f>0.5*$B$40*C120^2</f>
        <v/>
      </c>
      <c r="K120" s="12">
        <f>$B$24*J120*$B$19</f>
        <v/>
      </c>
      <c r="L120" s="12">
        <f>$B$33^2/(J120*$B$19*PI()*$B$43*$B$25)</f>
        <v/>
      </c>
      <c r="M120" s="19">
        <f>K120+L120</f>
        <v/>
      </c>
      <c r="N120" s="19">
        <f>(I120-M120)*C120/$B$33*60</f>
        <v/>
      </c>
      <c r="O120" s="12">
        <f>DEGREES(ASIN(MIN(1,MAX(-1,(I120-M120)/$B$33))))</f>
        <v/>
      </c>
      <c r="P120" s="19">
        <f>M120*C120/$B$33*60</f>
        <v/>
      </c>
      <c r="Q120" s="12">
        <f>DEGREES(ASIN(MIN(1,MAX(-1,M120/$B$33))))</f>
        <v/>
      </c>
    </row>
    <row r="121">
      <c r="A121" s="36" t="n">
        <v>73</v>
      </c>
      <c r="B121" s="19">
        <f>A121/SQRT($B$39)</f>
        <v/>
      </c>
      <c r="C121" s="12">
        <f>B121/0.5924838</f>
        <v/>
      </c>
      <c r="D121" s="18">
        <f>C121/($B$46*$B$23)</f>
        <v/>
      </c>
      <c r="E121" s="18">
        <f>D121/$B$47^(1/3)</f>
        <v/>
      </c>
      <c r="F121" s="15">
        <f>INDEX($C$6:$J$6,1,$B$49)+E121*(INDEX($C$7:$J$7,1,$B$49)+E121*(INDEX($C$8:$J$8,1,$B$49)+E121*(INDEX($C$9:$J$9,1,$B$49)+E121*(INDEX($C$10:$J$10,1,$B$49)+E121*(INDEX($C$11:$J$11,1,$B$49)+E121*(INDEX($C$12:$J$12,1,$B$49)))))))</f>
        <v/>
      </c>
      <c r="G121" s="15">
        <f>INDEX($C$6:$J$6,1,$B$49+1)+E121*(INDEX($C$7:$J$7,1,$B$49+1)+E121*(INDEX($C$8:$J$8,1,$B$49+1)+E121*(INDEX($C$9:$J$9,1,$B$49+1)+E121*(INDEX($C$10:$J$10,1,$B$49+1)+E121*(INDEX($C$11:$J$11,1,$B$49+1)+E121*(INDEX($C$12:$J$12,1,$B$49+1)))))))</f>
        <v/>
      </c>
      <c r="H121" s="18">
        <f>$B$44*(F121+$B$52*(G121-F121))</f>
        <v/>
      </c>
      <c r="I121" s="19">
        <f>H121*$B$45/C121</f>
        <v/>
      </c>
      <c r="J121" s="12">
        <f>0.5*$B$40*C121^2</f>
        <v/>
      </c>
      <c r="K121" s="12">
        <f>$B$24*J121*$B$19</f>
        <v/>
      </c>
      <c r="L121" s="12">
        <f>$B$33^2/(J121*$B$19*PI()*$B$43*$B$25)</f>
        <v/>
      </c>
      <c r="M121" s="19">
        <f>K121+L121</f>
        <v/>
      </c>
      <c r="N121" s="19">
        <f>(I121-M121)*C121/$B$33*60</f>
        <v/>
      </c>
      <c r="O121" s="12">
        <f>DEGREES(ASIN(MIN(1,MAX(-1,(I121-M121)/$B$33))))</f>
        <v/>
      </c>
      <c r="P121" s="19">
        <f>M121*C121/$B$33*60</f>
        <v/>
      </c>
      <c r="Q121" s="12">
        <f>DEGREES(ASIN(MIN(1,MAX(-1,M121/$B$33))))</f>
        <v/>
      </c>
    </row>
    <row r="122">
      <c r="A122" s="36" t="n">
        <v>73.5</v>
      </c>
      <c r="B122" s="19">
        <f>A122/SQRT($B$39)</f>
        <v/>
      </c>
      <c r="C122" s="12">
        <f>B122/0.5924838</f>
        <v/>
      </c>
      <c r="D122" s="18">
        <f>C122/($B$46*$B$23)</f>
        <v/>
      </c>
      <c r="E122" s="18">
        <f>D122/$B$47^(1/3)</f>
        <v/>
      </c>
      <c r="F122" s="15">
        <f>INDEX($C$6:$J$6,1,$B$49)+E122*(INDEX($C$7:$J$7,1,$B$49)+E122*(INDEX($C$8:$J$8,1,$B$49)+E122*(INDEX($C$9:$J$9,1,$B$49)+E122*(INDEX($C$10:$J$10,1,$B$49)+E122*(INDEX($C$11:$J$11,1,$B$49)+E122*(INDEX($C$12:$J$12,1,$B$49)))))))</f>
        <v/>
      </c>
      <c r="G122" s="15">
        <f>INDEX($C$6:$J$6,1,$B$49+1)+E122*(INDEX($C$7:$J$7,1,$B$49+1)+E122*(INDEX($C$8:$J$8,1,$B$49+1)+E122*(INDEX($C$9:$J$9,1,$B$49+1)+E122*(INDEX($C$10:$J$10,1,$B$49+1)+E122*(INDEX($C$11:$J$11,1,$B$49+1)+E122*(INDEX($C$12:$J$12,1,$B$49+1)))))))</f>
        <v/>
      </c>
      <c r="H122" s="18">
        <f>$B$44*(F122+$B$52*(G122-F122))</f>
        <v/>
      </c>
      <c r="I122" s="19">
        <f>H122*$B$45/C122</f>
        <v/>
      </c>
      <c r="J122" s="12">
        <f>0.5*$B$40*C122^2</f>
        <v/>
      </c>
      <c r="K122" s="12">
        <f>$B$24*J122*$B$19</f>
        <v/>
      </c>
      <c r="L122" s="12">
        <f>$B$33^2/(J122*$B$19*PI()*$B$43*$B$25)</f>
        <v/>
      </c>
      <c r="M122" s="19">
        <f>K122+L122</f>
        <v/>
      </c>
      <c r="N122" s="19">
        <f>(I122-M122)*C122/$B$33*60</f>
        <v/>
      </c>
      <c r="O122" s="12">
        <f>DEGREES(ASIN(MIN(1,MAX(-1,(I122-M122)/$B$33))))</f>
        <v/>
      </c>
      <c r="P122" s="19">
        <f>M122*C122/$B$33*60</f>
        <v/>
      </c>
      <c r="Q122" s="12">
        <f>DEGREES(ASIN(MIN(1,MAX(-1,M122/$B$33))))</f>
        <v/>
      </c>
    </row>
    <row r="123">
      <c r="A123" s="36" t="n">
        <v>74</v>
      </c>
      <c r="B123" s="19">
        <f>A123/SQRT($B$39)</f>
        <v/>
      </c>
      <c r="C123" s="12">
        <f>B123/0.5924838</f>
        <v/>
      </c>
      <c r="D123" s="18">
        <f>C123/($B$46*$B$23)</f>
        <v/>
      </c>
      <c r="E123" s="18">
        <f>D123/$B$47^(1/3)</f>
        <v/>
      </c>
      <c r="F123" s="15">
        <f>INDEX($C$6:$J$6,1,$B$49)+E123*(INDEX($C$7:$J$7,1,$B$49)+E123*(INDEX($C$8:$J$8,1,$B$49)+E123*(INDEX($C$9:$J$9,1,$B$49)+E123*(INDEX($C$10:$J$10,1,$B$49)+E123*(INDEX($C$11:$J$11,1,$B$49)+E123*(INDEX($C$12:$J$12,1,$B$49)))))))</f>
        <v/>
      </c>
      <c r="G123" s="15">
        <f>INDEX($C$6:$J$6,1,$B$49+1)+E123*(INDEX($C$7:$J$7,1,$B$49+1)+E123*(INDEX($C$8:$J$8,1,$B$49+1)+E123*(INDEX($C$9:$J$9,1,$B$49+1)+E123*(INDEX($C$10:$J$10,1,$B$49+1)+E123*(INDEX($C$11:$J$11,1,$B$49+1)+E123*(INDEX($C$12:$J$12,1,$B$49+1)))))))</f>
        <v/>
      </c>
      <c r="H123" s="18">
        <f>$B$44*(F123+$B$52*(G123-F123))</f>
        <v/>
      </c>
      <c r="I123" s="19">
        <f>H123*$B$45/C123</f>
        <v/>
      </c>
      <c r="J123" s="12">
        <f>0.5*$B$40*C123^2</f>
        <v/>
      </c>
      <c r="K123" s="12">
        <f>$B$24*J123*$B$19</f>
        <v/>
      </c>
      <c r="L123" s="12">
        <f>$B$33^2/(J123*$B$19*PI()*$B$43*$B$25)</f>
        <v/>
      </c>
      <c r="M123" s="19">
        <f>K123+L123</f>
        <v/>
      </c>
      <c r="N123" s="19">
        <f>(I123-M123)*C123/$B$33*60</f>
        <v/>
      </c>
      <c r="O123" s="12">
        <f>DEGREES(ASIN(MIN(1,MAX(-1,(I123-M123)/$B$33))))</f>
        <v/>
      </c>
      <c r="P123" s="19">
        <f>M123*C123/$B$33*60</f>
        <v/>
      </c>
      <c r="Q123" s="12">
        <f>DEGREES(ASIN(MIN(1,MAX(-1,M123/$B$33))))</f>
        <v/>
      </c>
    </row>
    <row r="124">
      <c r="A124" s="36" t="n">
        <v>74.5</v>
      </c>
      <c r="B124" s="19">
        <f>A124/SQRT($B$39)</f>
        <v/>
      </c>
      <c r="C124" s="12">
        <f>B124/0.5924838</f>
        <v/>
      </c>
      <c r="D124" s="18">
        <f>C124/($B$46*$B$23)</f>
        <v/>
      </c>
      <c r="E124" s="18">
        <f>D124/$B$47^(1/3)</f>
        <v/>
      </c>
      <c r="F124" s="15">
        <f>INDEX($C$6:$J$6,1,$B$49)+E124*(INDEX($C$7:$J$7,1,$B$49)+E124*(INDEX($C$8:$J$8,1,$B$49)+E124*(INDEX($C$9:$J$9,1,$B$49)+E124*(INDEX($C$10:$J$10,1,$B$49)+E124*(INDEX($C$11:$J$11,1,$B$49)+E124*(INDEX($C$12:$J$12,1,$B$49)))))))</f>
        <v/>
      </c>
      <c r="G124" s="15">
        <f>INDEX($C$6:$J$6,1,$B$49+1)+E124*(INDEX($C$7:$J$7,1,$B$49+1)+E124*(INDEX($C$8:$J$8,1,$B$49+1)+E124*(INDEX($C$9:$J$9,1,$B$49+1)+E124*(INDEX($C$10:$J$10,1,$B$49+1)+E124*(INDEX($C$11:$J$11,1,$B$49+1)+E124*(INDEX($C$12:$J$12,1,$B$49+1)))))))</f>
        <v/>
      </c>
      <c r="H124" s="18">
        <f>$B$44*(F124+$B$52*(G124-F124))</f>
        <v/>
      </c>
      <c r="I124" s="19">
        <f>H124*$B$45/C124</f>
        <v/>
      </c>
      <c r="J124" s="12">
        <f>0.5*$B$40*C124^2</f>
        <v/>
      </c>
      <c r="K124" s="12">
        <f>$B$24*J124*$B$19</f>
        <v/>
      </c>
      <c r="L124" s="12">
        <f>$B$33^2/(J124*$B$19*PI()*$B$43*$B$25)</f>
        <v/>
      </c>
      <c r="M124" s="19">
        <f>K124+L124</f>
        <v/>
      </c>
      <c r="N124" s="19">
        <f>(I124-M124)*C124/$B$33*60</f>
        <v/>
      </c>
      <c r="O124" s="12">
        <f>DEGREES(ASIN(MIN(1,MAX(-1,(I124-M124)/$B$33))))</f>
        <v/>
      </c>
      <c r="P124" s="19">
        <f>M124*C124/$B$33*60</f>
        <v/>
      </c>
      <c r="Q124" s="12">
        <f>DEGREES(ASIN(MIN(1,MAX(-1,M124/$B$33))))</f>
        <v/>
      </c>
    </row>
    <row r="125">
      <c r="A125" s="36" t="n">
        <v>75</v>
      </c>
      <c r="B125" s="19">
        <f>A125/SQRT($B$39)</f>
        <v/>
      </c>
      <c r="C125" s="12">
        <f>B125/0.5924838</f>
        <v/>
      </c>
      <c r="D125" s="18">
        <f>C125/($B$46*$B$23)</f>
        <v/>
      </c>
      <c r="E125" s="18">
        <f>D125/$B$47^(1/3)</f>
        <v/>
      </c>
      <c r="F125" s="15">
        <f>INDEX($C$6:$J$6,1,$B$49)+E125*(INDEX($C$7:$J$7,1,$B$49)+E125*(INDEX($C$8:$J$8,1,$B$49)+E125*(INDEX($C$9:$J$9,1,$B$49)+E125*(INDEX($C$10:$J$10,1,$B$49)+E125*(INDEX($C$11:$J$11,1,$B$49)+E125*(INDEX($C$12:$J$12,1,$B$49)))))))</f>
        <v/>
      </c>
      <c r="G125" s="15">
        <f>INDEX($C$6:$J$6,1,$B$49+1)+E125*(INDEX($C$7:$J$7,1,$B$49+1)+E125*(INDEX($C$8:$J$8,1,$B$49+1)+E125*(INDEX($C$9:$J$9,1,$B$49+1)+E125*(INDEX($C$10:$J$10,1,$B$49+1)+E125*(INDEX($C$11:$J$11,1,$B$49+1)+E125*(INDEX($C$12:$J$12,1,$B$49+1)))))))</f>
        <v/>
      </c>
      <c r="H125" s="18">
        <f>$B$44*(F125+$B$52*(G125-F125))</f>
        <v/>
      </c>
      <c r="I125" s="19">
        <f>H125*$B$45/C125</f>
        <v/>
      </c>
      <c r="J125" s="12">
        <f>0.5*$B$40*C125^2</f>
        <v/>
      </c>
      <c r="K125" s="12">
        <f>$B$24*J125*$B$19</f>
        <v/>
      </c>
      <c r="L125" s="12">
        <f>$B$33^2/(J125*$B$19*PI()*$B$43*$B$25)</f>
        <v/>
      </c>
      <c r="M125" s="19">
        <f>K125+L125</f>
        <v/>
      </c>
      <c r="N125" s="19">
        <f>(I125-M125)*C125/$B$33*60</f>
        <v/>
      </c>
      <c r="O125" s="12">
        <f>DEGREES(ASIN(MIN(1,MAX(-1,(I125-M125)/$B$33))))</f>
        <v/>
      </c>
      <c r="P125" s="19">
        <f>M125*C125/$B$33*60</f>
        <v/>
      </c>
      <c r="Q125" s="12">
        <f>DEGREES(ASIN(MIN(1,MAX(-1,M125/$B$33))))</f>
        <v/>
      </c>
    </row>
    <row r="126">
      <c r="A126" s="36" t="n">
        <v>75.5</v>
      </c>
      <c r="B126" s="19">
        <f>A126/SQRT($B$39)</f>
        <v/>
      </c>
      <c r="C126" s="12">
        <f>B126/0.5924838</f>
        <v/>
      </c>
      <c r="D126" s="18">
        <f>C126/($B$46*$B$23)</f>
        <v/>
      </c>
      <c r="E126" s="18">
        <f>D126/$B$47^(1/3)</f>
        <v/>
      </c>
      <c r="F126" s="15">
        <f>INDEX($C$6:$J$6,1,$B$49)+E126*(INDEX($C$7:$J$7,1,$B$49)+E126*(INDEX($C$8:$J$8,1,$B$49)+E126*(INDEX($C$9:$J$9,1,$B$49)+E126*(INDEX($C$10:$J$10,1,$B$49)+E126*(INDEX($C$11:$J$11,1,$B$49)+E126*(INDEX($C$12:$J$12,1,$B$49)))))))</f>
        <v/>
      </c>
      <c r="G126" s="15">
        <f>INDEX($C$6:$J$6,1,$B$49+1)+E126*(INDEX($C$7:$J$7,1,$B$49+1)+E126*(INDEX($C$8:$J$8,1,$B$49+1)+E126*(INDEX($C$9:$J$9,1,$B$49+1)+E126*(INDEX($C$10:$J$10,1,$B$49+1)+E126*(INDEX($C$11:$J$11,1,$B$49+1)+E126*(INDEX($C$12:$J$12,1,$B$49+1)))))))</f>
        <v/>
      </c>
      <c r="H126" s="18">
        <f>$B$44*(F126+$B$52*(G126-F126))</f>
        <v/>
      </c>
      <c r="I126" s="19">
        <f>H126*$B$45/C126</f>
        <v/>
      </c>
      <c r="J126" s="12">
        <f>0.5*$B$40*C126^2</f>
        <v/>
      </c>
      <c r="K126" s="12">
        <f>$B$24*J126*$B$19</f>
        <v/>
      </c>
      <c r="L126" s="12">
        <f>$B$33^2/(J126*$B$19*PI()*$B$43*$B$25)</f>
        <v/>
      </c>
      <c r="M126" s="19">
        <f>K126+L126</f>
        <v/>
      </c>
      <c r="N126" s="19">
        <f>(I126-M126)*C126/$B$33*60</f>
        <v/>
      </c>
      <c r="O126" s="12">
        <f>DEGREES(ASIN(MIN(1,MAX(-1,(I126-M126)/$B$33))))</f>
        <v/>
      </c>
      <c r="P126" s="19">
        <f>M126*C126/$B$33*60</f>
        <v/>
      </c>
      <c r="Q126" s="12">
        <f>DEGREES(ASIN(MIN(1,MAX(-1,M126/$B$33))))</f>
        <v/>
      </c>
    </row>
    <row r="127">
      <c r="A127" s="36" t="n">
        <v>76</v>
      </c>
      <c r="B127" s="19">
        <f>A127/SQRT($B$39)</f>
        <v/>
      </c>
      <c r="C127" s="12">
        <f>B127/0.5924838</f>
        <v/>
      </c>
      <c r="D127" s="18">
        <f>C127/($B$46*$B$23)</f>
        <v/>
      </c>
      <c r="E127" s="18">
        <f>D127/$B$47^(1/3)</f>
        <v/>
      </c>
      <c r="F127" s="15">
        <f>INDEX($C$6:$J$6,1,$B$49)+E127*(INDEX($C$7:$J$7,1,$B$49)+E127*(INDEX($C$8:$J$8,1,$B$49)+E127*(INDEX($C$9:$J$9,1,$B$49)+E127*(INDEX($C$10:$J$10,1,$B$49)+E127*(INDEX($C$11:$J$11,1,$B$49)+E127*(INDEX($C$12:$J$12,1,$B$49)))))))</f>
        <v/>
      </c>
      <c r="G127" s="15">
        <f>INDEX($C$6:$J$6,1,$B$49+1)+E127*(INDEX($C$7:$J$7,1,$B$49+1)+E127*(INDEX($C$8:$J$8,1,$B$49+1)+E127*(INDEX($C$9:$J$9,1,$B$49+1)+E127*(INDEX($C$10:$J$10,1,$B$49+1)+E127*(INDEX($C$11:$J$11,1,$B$49+1)+E127*(INDEX($C$12:$J$12,1,$B$49+1)))))))</f>
        <v/>
      </c>
      <c r="H127" s="18">
        <f>$B$44*(F127+$B$52*(G127-F127))</f>
        <v/>
      </c>
      <c r="I127" s="19">
        <f>H127*$B$45/C127</f>
        <v/>
      </c>
      <c r="J127" s="12">
        <f>0.5*$B$40*C127^2</f>
        <v/>
      </c>
      <c r="K127" s="12">
        <f>$B$24*J127*$B$19</f>
        <v/>
      </c>
      <c r="L127" s="12">
        <f>$B$33^2/(J127*$B$19*PI()*$B$43*$B$25)</f>
        <v/>
      </c>
      <c r="M127" s="19">
        <f>K127+L127</f>
        <v/>
      </c>
      <c r="N127" s="19">
        <f>(I127-M127)*C127/$B$33*60</f>
        <v/>
      </c>
      <c r="O127" s="12">
        <f>DEGREES(ASIN(MIN(1,MAX(-1,(I127-M127)/$B$33))))</f>
        <v/>
      </c>
      <c r="P127" s="19">
        <f>M127*C127/$B$33*60</f>
        <v/>
      </c>
      <c r="Q127" s="12">
        <f>DEGREES(ASIN(MIN(1,MAX(-1,M127/$B$33))))</f>
        <v/>
      </c>
    </row>
    <row r="128">
      <c r="A128" s="36" t="n">
        <v>76.5</v>
      </c>
      <c r="B128" s="19">
        <f>A128/SQRT($B$39)</f>
        <v/>
      </c>
      <c r="C128" s="12">
        <f>B128/0.5924838</f>
        <v/>
      </c>
      <c r="D128" s="18">
        <f>C128/($B$46*$B$23)</f>
        <v/>
      </c>
      <c r="E128" s="18">
        <f>D128/$B$47^(1/3)</f>
        <v/>
      </c>
      <c r="F128" s="15">
        <f>INDEX($C$6:$J$6,1,$B$49)+E128*(INDEX($C$7:$J$7,1,$B$49)+E128*(INDEX($C$8:$J$8,1,$B$49)+E128*(INDEX($C$9:$J$9,1,$B$49)+E128*(INDEX($C$10:$J$10,1,$B$49)+E128*(INDEX($C$11:$J$11,1,$B$49)+E128*(INDEX($C$12:$J$12,1,$B$49)))))))</f>
        <v/>
      </c>
      <c r="G128" s="15">
        <f>INDEX($C$6:$J$6,1,$B$49+1)+E128*(INDEX($C$7:$J$7,1,$B$49+1)+E128*(INDEX($C$8:$J$8,1,$B$49+1)+E128*(INDEX($C$9:$J$9,1,$B$49+1)+E128*(INDEX($C$10:$J$10,1,$B$49+1)+E128*(INDEX($C$11:$J$11,1,$B$49+1)+E128*(INDEX($C$12:$J$12,1,$B$49+1)))))))</f>
        <v/>
      </c>
      <c r="H128" s="18">
        <f>$B$44*(F128+$B$52*(G128-F128))</f>
        <v/>
      </c>
      <c r="I128" s="19">
        <f>H128*$B$45/C128</f>
        <v/>
      </c>
      <c r="J128" s="12">
        <f>0.5*$B$40*C128^2</f>
        <v/>
      </c>
      <c r="K128" s="12">
        <f>$B$24*J128*$B$19</f>
        <v/>
      </c>
      <c r="L128" s="12">
        <f>$B$33^2/(J128*$B$19*PI()*$B$43*$B$25)</f>
        <v/>
      </c>
      <c r="M128" s="19">
        <f>K128+L128</f>
        <v/>
      </c>
      <c r="N128" s="19">
        <f>(I128-M128)*C128/$B$33*60</f>
        <v/>
      </c>
      <c r="O128" s="12">
        <f>DEGREES(ASIN(MIN(1,MAX(-1,(I128-M128)/$B$33))))</f>
        <v/>
      </c>
      <c r="P128" s="19">
        <f>M128*C128/$B$33*60</f>
        <v/>
      </c>
      <c r="Q128" s="12">
        <f>DEGREES(ASIN(MIN(1,MAX(-1,M128/$B$33))))</f>
        <v/>
      </c>
    </row>
    <row r="129">
      <c r="A129" s="36" t="n">
        <v>77</v>
      </c>
      <c r="B129" s="19">
        <f>A129/SQRT($B$39)</f>
        <v/>
      </c>
      <c r="C129" s="12">
        <f>B129/0.5924838</f>
        <v/>
      </c>
      <c r="D129" s="18">
        <f>C129/($B$46*$B$23)</f>
        <v/>
      </c>
      <c r="E129" s="18">
        <f>D129/$B$47^(1/3)</f>
        <v/>
      </c>
      <c r="F129" s="15">
        <f>INDEX($C$6:$J$6,1,$B$49)+E129*(INDEX($C$7:$J$7,1,$B$49)+E129*(INDEX($C$8:$J$8,1,$B$49)+E129*(INDEX($C$9:$J$9,1,$B$49)+E129*(INDEX($C$10:$J$10,1,$B$49)+E129*(INDEX($C$11:$J$11,1,$B$49)+E129*(INDEX($C$12:$J$12,1,$B$49)))))))</f>
        <v/>
      </c>
      <c r="G129" s="15">
        <f>INDEX($C$6:$J$6,1,$B$49+1)+E129*(INDEX($C$7:$J$7,1,$B$49+1)+E129*(INDEX($C$8:$J$8,1,$B$49+1)+E129*(INDEX($C$9:$J$9,1,$B$49+1)+E129*(INDEX($C$10:$J$10,1,$B$49+1)+E129*(INDEX($C$11:$J$11,1,$B$49+1)+E129*(INDEX($C$12:$J$12,1,$B$49+1)))))))</f>
        <v/>
      </c>
      <c r="H129" s="18">
        <f>$B$44*(F129+$B$52*(G129-F129))</f>
        <v/>
      </c>
      <c r="I129" s="19">
        <f>H129*$B$45/C129</f>
        <v/>
      </c>
      <c r="J129" s="12">
        <f>0.5*$B$40*C129^2</f>
        <v/>
      </c>
      <c r="K129" s="12">
        <f>$B$24*J129*$B$19</f>
        <v/>
      </c>
      <c r="L129" s="12">
        <f>$B$33^2/(J129*$B$19*PI()*$B$43*$B$25)</f>
        <v/>
      </c>
      <c r="M129" s="19">
        <f>K129+L129</f>
        <v/>
      </c>
      <c r="N129" s="19">
        <f>(I129-M129)*C129/$B$33*60</f>
        <v/>
      </c>
      <c r="O129" s="12">
        <f>DEGREES(ASIN(MIN(1,MAX(-1,(I129-M129)/$B$33))))</f>
        <v/>
      </c>
      <c r="P129" s="19">
        <f>M129*C129/$B$33*60</f>
        <v/>
      </c>
      <c r="Q129" s="12">
        <f>DEGREES(ASIN(MIN(1,MAX(-1,M129/$B$33))))</f>
        <v/>
      </c>
    </row>
    <row r="130">
      <c r="A130" s="36" t="n">
        <v>77.5</v>
      </c>
      <c r="B130" s="19">
        <f>A130/SQRT($B$39)</f>
        <v/>
      </c>
      <c r="C130" s="12">
        <f>B130/0.5924838</f>
        <v/>
      </c>
      <c r="D130" s="18">
        <f>C130/($B$46*$B$23)</f>
        <v/>
      </c>
      <c r="E130" s="18">
        <f>D130/$B$47^(1/3)</f>
        <v/>
      </c>
      <c r="F130" s="15">
        <f>INDEX($C$6:$J$6,1,$B$49)+E130*(INDEX($C$7:$J$7,1,$B$49)+E130*(INDEX($C$8:$J$8,1,$B$49)+E130*(INDEX($C$9:$J$9,1,$B$49)+E130*(INDEX($C$10:$J$10,1,$B$49)+E130*(INDEX($C$11:$J$11,1,$B$49)+E130*(INDEX($C$12:$J$12,1,$B$49)))))))</f>
        <v/>
      </c>
      <c r="G130" s="15">
        <f>INDEX($C$6:$J$6,1,$B$49+1)+E130*(INDEX($C$7:$J$7,1,$B$49+1)+E130*(INDEX($C$8:$J$8,1,$B$49+1)+E130*(INDEX($C$9:$J$9,1,$B$49+1)+E130*(INDEX($C$10:$J$10,1,$B$49+1)+E130*(INDEX($C$11:$J$11,1,$B$49+1)+E130*(INDEX($C$12:$J$12,1,$B$49+1)))))))</f>
        <v/>
      </c>
      <c r="H130" s="18">
        <f>$B$44*(F130+$B$52*(G130-F130))</f>
        <v/>
      </c>
      <c r="I130" s="19">
        <f>H130*$B$45/C130</f>
        <v/>
      </c>
      <c r="J130" s="12">
        <f>0.5*$B$40*C130^2</f>
        <v/>
      </c>
      <c r="K130" s="12">
        <f>$B$24*J130*$B$19</f>
        <v/>
      </c>
      <c r="L130" s="12">
        <f>$B$33^2/(J130*$B$19*PI()*$B$43*$B$25)</f>
        <v/>
      </c>
      <c r="M130" s="19">
        <f>K130+L130</f>
        <v/>
      </c>
      <c r="N130" s="19">
        <f>(I130-M130)*C130/$B$33*60</f>
        <v/>
      </c>
      <c r="O130" s="12">
        <f>DEGREES(ASIN(MIN(1,MAX(-1,(I130-M130)/$B$33))))</f>
        <v/>
      </c>
      <c r="P130" s="19">
        <f>M130*C130/$B$33*60</f>
        <v/>
      </c>
      <c r="Q130" s="12">
        <f>DEGREES(ASIN(MIN(1,MAX(-1,M130/$B$33))))</f>
        <v/>
      </c>
    </row>
    <row r="131">
      <c r="A131" s="36" t="n">
        <v>78</v>
      </c>
      <c r="B131" s="19">
        <f>A131/SQRT($B$39)</f>
        <v/>
      </c>
      <c r="C131" s="12">
        <f>B131/0.5924838</f>
        <v/>
      </c>
      <c r="D131" s="18">
        <f>C131/($B$46*$B$23)</f>
        <v/>
      </c>
      <c r="E131" s="18">
        <f>D131/$B$47^(1/3)</f>
        <v/>
      </c>
      <c r="F131" s="15">
        <f>INDEX($C$6:$J$6,1,$B$49)+E131*(INDEX($C$7:$J$7,1,$B$49)+E131*(INDEX($C$8:$J$8,1,$B$49)+E131*(INDEX($C$9:$J$9,1,$B$49)+E131*(INDEX($C$10:$J$10,1,$B$49)+E131*(INDEX($C$11:$J$11,1,$B$49)+E131*(INDEX($C$12:$J$12,1,$B$49)))))))</f>
        <v/>
      </c>
      <c r="G131" s="15">
        <f>INDEX($C$6:$J$6,1,$B$49+1)+E131*(INDEX($C$7:$J$7,1,$B$49+1)+E131*(INDEX($C$8:$J$8,1,$B$49+1)+E131*(INDEX($C$9:$J$9,1,$B$49+1)+E131*(INDEX($C$10:$J$10,1,$B$49+1)+E131*(INDEX($C$11:$J$11,1,$B$49+1)+E131*(INDEX($C$12:$J$12,1,$B$49+1)))))))</f>
        <v/>
      </c>
      <c r="H131" s="18">
        <f>$B$44*(F131+$B$52*(G131-F131))</f>
        <v/>
      </c>
      <c r="I131" s="19">
        <f>H131*$B$45/C131</f>
        <v/>
      </c>
      <c r="J131" s="12">
        <f>0.5*$B$40*C131^2</f>
        <v/>
      </c>
      <c r="K131" s="12">
        <f>$B$24*J131*$B$19</f>
        <v/>
      </c>
      <c r="L131" s="12">
        <f>$B$33^2/(J131*$B$19*PI()*$B$43*$B$25)</f>
        <v/>
      </c>
      <c r="M131" s="19">
        <f>K131+L131</f>
        <v/>
      </c>
      <c r="N131" s="19">
        <f>(I131-M131)*C131/$B$33*60</f>
        <v/>
      </c>
      <c r="O131" s="12">
        <f>DEGREES(ASIN(MIN(1,MAX(-1,(I131-M131)/$B$33))))</f>
        <v/>
      </c>
      <c r="P131" s="19">
        <f>M131*C131/$B$33*60</f>
        <v/>
      </c>
      <c r="Q131" s="12">
        <f>DEGREES(ASIN(MIN(1,MAX(-1,M131/$B$33))))</f>
        <v/>
      </c>
    </row>
    <row r="132">
      <c r="A132" s="36" t="n">
        <v>78.5</v>
      </c>
      <c r="B132" s="19">
        <f>A132/SQRT($B$39)</f>
        <v/>
      </c>
      <c r="C132" s="12">
        <f>B132/0.5924838</f>
        <v/>
      </c>
      <c r="D132" s="18">
        <f>C132/($B$46*$B$23)</f>
        <v/>
      </c>
      <c r="E132" s="18">
        <f>D132/$B$47^(1/3)</f>
        <v/>
      </c>
      <c r="F132" s="15">
        <f>INDEX($C$6:$J$6,1,$B$49)+E132*(INDEX($C$7:$J$7,1,$B$49)+E132*(INDEX($C$8:$J$8,1,$B$49)+E132*(INDEX($C$9:$J$9,1,$B$49)+E132*(INDEX($C$10:$J$10,1,$B$49)+E132*(INDEX($C$11:$J$11,1,$B$49)+E132*(INDEX($C$12:$J$12,1,$B$49)))))))</f>
        <v/>
      </c>
      <c r="G132" s="15">
        <f>INDEX($C$6:$J$6,1,$B$49+1)+E132*(INDEX($C$7:$J$7,1,$B$49+1)+E132*(INDEX($C$8:$J$8,1,$B$49+1)+E132*(INDEX($C$9:$J$9,1,$B$49+1)+E132*(INDEX($C$10:$J$10,1,$B$49+1)+E132*(INDEX($C$11:$J$11,1,$B$49+1)+E132*(INDEX($C$12:$J$12,1,$B$49+1)))))))</f>
        <v/>
      </c>
      <c r="H132" s="18">
        <f>$B$44*(F132+$B$52*(G132-F132))</f>
        <v/>
      </c>
      <c r="I132" s="19">
        <f>H132*$B$45/C132</f>
        <v/>
      </c>
      <c r="J132" s="12">
        <f>0.5*$B$40*C132^2</f>
        <v/>
      </c>
      <c r="K132" s="12">
        <f>$B$24*J132*$B$19</f>
        <v/>
      </c>
      <c r="L132" s="12">
        <f>$B$33^2/(J132*$B$19*PI()*$B$43*$B$25)</f>
        <v/>
      </c>
      <c r="M132" s="19">
        <f>K132+L132</f>
        <v/>
      </c>
      <c r="N132" s="19">
        <f>(I132-M132)*C132/$B$33*60</f>
        <v/>
      </c>
      <c r="O132" s="12">
        <f>DEGREES(ASIN(MIN(1,MAX(-1,(I132-M132)/$B$33))))</f>
        <v/>
      </c>
      <c r="P132" s="19">
        <f>M132*C132/$B$33*60</f>
        <v/>
      </c>
      <c r="Q132" s="12">
        <f>DEGREES(ASIN(MIN(1,MAX(-1,M132/$B$33))))</f>
        <v/>
      </c>
    </row>
    <row r="133">
      <c r="A133" s="36" t="n">
        <v>79</v>
      </c>
      <c r="B133" s="19">
        <f>A133/SQRT($B$39)</f>
        <v/>
      </c>
      <c r="C133" s="12">
        <f>B133/0.5924838</f>
        <v/>
      </c>
      <c r="D133" s="18">
        <f>C133/($B$46*$B$23)</f>
        <v/>
      </c>
      <c r="E133" s="18">
        <f>D133/$B$47^(1/3)</f>
        <v/>
      </c>
      <c r="F133" s="15">
        <f>INDEX($C$6:$J$6,1,$B$49)+E133*(INDEX($C$7:$J$7,1,$B$49)+E133*(INDEX($C$8:$J$8,1,$B$49)+E133*(INDEX($C$9:$J$9,1,$B$49)+E133*(INDEX($C$10:$J$10,1,$B$49)+E133*(INDEX($C$11:$J$11,1,$B$49)+E133*(INDEX($C$12:$J$12,1,$B$49)))))))</f>
        <v/>
      </c>
      <c r="G133" s="15">
        <f>INDEX($C$6:$J$6,1,$B$49+1)+E133*(INDEX($C$7:$J$7,1,$B$49+1)+E133*(INDEX($C$8:$J$8,1,$B$49+1)+E133*(INDEX($C$9:$J$9,1,$B$49+1)+E133*(INDEX($C$10:$J$10,1,$B$49+1)+E133*(INDEX($C$11:$J$11,1,$B$49+1)+E133*(INDEX($C$12:$J$12,1,$B$49+1)))))))</f>
        <v/>
      </c>
      <c r="H133" s="18">
        <f>$B$44*(F133+$B$52*(G133-F133))</f>
        <v/>
      </c>
      <c r="I133" s="19">
        <f>H133*$B$45/C133</f>
        <v/>
      </c>
      <c r="J133" s="12">
        <f>0.5*$B$40*C133^2</f>
        <v/>
      </c>
      <c r="K133" s="12">
        <f>$B$24*J133*$B$19</f>
        <v/>
      </c>
      <c r="L133" s="12">
        <f>$B$33^2/(J133*$B$19*PI()*$B$43*$B$25)</f>
        <v/>
      </c>
      <c r="M133" s="19">
        <f>K133+L133</f>
        <v/>
      </c>
      <c r="N133" s="19">
        <f>(I133-M133)*C133/$B$33*60</f>
        <v/>
      </c>
      <c r="O133" s="12">
        <f>DEGREES(ASIN(MIN(1,MAX(-1,(I133-M133)/$B$33))))</f>
        <v/>
      </c>
      <c r="P133" s="19">
        <f>M133*C133/$B$33*60</f>
        <v/>
      </c>
      <c r="Q133" s="12">
        <f>DEGREES(ASIN(MIN(1,MAX(-1,M133/$B$33))))</f>
        <v/>
      </c>
    </row>
    <row r="134">
      <c r="A134" s="36" t="n">
        <v>79.5</v>
      </c>
      <c r="B134" s="19">
        <f>A134/SQRT($B$39)</f>
        <v/>
      </c>
      <c r="C134" s="12">
        <f>B134/0.5924838</f>
        <v/>
      </c>
      <c r="D134" s="18">
        <f>C134/($B$46*$B$23)</f>
        <v/>
      </c>
      <c r="E134" s="18">
        <f>D134/$B$47^(1/3)</f>
        <v/>
      </c>
      <c r="F134" s="15">
        <f>INDEX($C$6:$J$6,1,$B$49)+E134*(INDEX($C$7:$J$7,1,$B$49)+E134*(INDEX($C$8:$J$8,1,$B$49)+E134*(INDEX($C$9:$J$9,1,$B$49)+E134*(INDEX($C$10:$J$10,1,$B$49)+E134*(INDEX($C$11:$J$11,1,$B$49)+E134*(INDEX($C$12:$J$12,1,$B$49)))))))</f>
        <v/>
      </c>
      <c r="G134" s="15">
        <f>INDEX($C$6:$J$6,1,$B$49+1)+E134*(INDEX($C$7:$J$7,1,$B$49+1)+E134*(INDEX($C$8:$J$8,1,$B$49+1)+E134*(INDEX($C$9:$J$9,1,$B$49+1)+E134*(INDEX($C$10:$J$10,1,$B$49+1)+E134*(INDEX($C$11:$J$11,1,$B$49+1)+E134*(INDEX($C$12:$J$12,1,$B$49+1)))))))</f>
        <v/>
      </c>
      <c r="H134" s="18">
        <f>$B$44*(F134+$B$52*(G134-F134))</f>
        <v/>
      </c>
      <c r="I134" s="19">
        <f>H134*$B$45/C134</f>
        <v/>
      </c>
      <c r="J134" s="12">
        <f>0.5*$B$40*C134^2</f>
        <v/>
      </c>
      <c r="K134" s="12">
        <f>$B$24*J134*$B$19</f>
        <v/>
      </c>
      <c r="L134" s="12">
        <f>$B$33^2/(J134*$B$19*PI()*$B$43*$B$25)</f>
        <v/>
      </c>
      <c r="M134" s="19">
        <f>K134+L134</f>
        <v/>
      </c>
      <c r="N134" s="19">
        <f>(I134-M134)*C134/$B$33*60</f>
        <v/>
      </c>
      <c r="O134" s="12">
        <f>DEGREES(ASIN(MIN(1,MAX(-1,(I134-M134)/$B$33))))</f>
        <v/>
      </c>
      <c r="P134" s="19">
        <f>M134*C134/$B$33*60</f>
        <v/>
      </c>
      <c r="Q134" s="12">
        <f>DEGREES(ASIN(MIN(1,MAX(-1,M134/$B$33))))</f>
        <v/>
      </c>
    </row>
    <row r="135">
      <c r="A135" s="36" t="n">
        <v>80</v>
      </c>
      <c r="B135" s="19">
        <f>A135/SQRT($B$39)</f>
        <v/>
      </c>
      <c r="C135" s="12">
        <f>B135/0.5924838</f>
        <v/>
      </c>
      <c r="D135" s="18">
        <f>C135/($B$46*$B$23)</f>
        <v/>
      </c>
      <c r="E135" s="18">
        <f>D135/$B$47^(1/3)</f>
        <v/>
      </c>
      <c r="F135" s="15">
        <f>INDEX($C$6:$J$6,1,$B$49)+E135*(INDEX($C$7:$J$7,1,$B$49)+E135*(INDEX($C$8:$J$8,1,$B$49)+E135*(INDEX($C$9:$J$9,1,$B$49)+E135*(INDEX($C$10:$J$10,1,$B$49)+E135*(INDEX($C$11:$J$11,1,$B$49)+E135*(INDEX($C$12:$J$12,1,$B$49)))))))</f>
        <v/>
      </c>
      <c r="G135" s="15">
        <f>INDEX($C$6:$J$6,1,$B$49+1)+E135*(INDEX($C$7:$J$7,1,$B$49+1)+E135*(INDEX($C$8:$J$8,1,$B$49+1)+E135*(INDEX($C$9:$J$9,1,$B$49+1)+E135*(INDEX($C$10:$J$10,1,$B$49+1)+E135*(INDEX($C$11:$J$11,1,$B$49+1)+E135*(INDEX($C$12:$J$12,1,$B$49+1)))))))</f>
        <v/>
      </c>
      <c r="H135" s="18">
        <f>$B$44*(F135+$B$52*(G135-F135))</f>
        <v/>
      </c>
      <c r="I135" s="19">
        <f>H135*$B$45/C135</f>
        <v/>
      </c>
      <c r="J135" s="12">
        <f>0.5*$B$40*C135^2</f>
        <v/>
      </c>
      <c r="K135" s="12">
        <f>$B$24*J135*$B$19</f>
        <v/>
      </c>
      <c r="L135" s="12">
        <f>$B$33^2/(J135*$B$19*PI()*$B$43*$B$25)</f>
        <v/>
      </c>
      <c r="M135" s="19">
        <f>K135+L135</f>
        <v/>
      </c>
      <c r="N135" s="19">
        <f>(I135-M135)*C135/$B$33*60</f>
        <v/>
      </c>
      <c r="O135" s="12">
        <f>DEGREES(ASIN(MIN(1,MAX(-1,(I135-M135)/$B$33))))</f>
        <v/>
      </c>
      <c r="P135" s="19">
        <f>M135*C135/$B$33*60</f>
        <v/>
      </c>
      <c r="Q135" s="12">
        <f>DEGREES(ASIN(MIN(1,MAX(-1,M135/$B$33))))</f>
        <v/>
      </c>
    </row>
    <row r="136">
      <c r="A136" s="36" t="n">
        <v>80.5</v>
      </c>
      <c r="B136" s="19">
        <f>A136/SQRT($B$39)</f>
        <v/>
      </c>
      <c r="C136" s="12">
        <f>B136/0.5924838</f>
        <v/>
      </c>
      <c r="D136" s="18">
        <f>C136/($B$46*$B$23)</f>
        <v/>
      </c>
      <c r="E136" s="18">
        <f>D136/$B$47^(1/3)</f>
        <v/>
      </c>
      <c r="F136" s="15">
        <f>INDEX($C$6:$J$6,1,$B$49)+E136*(INDEX($C$7:$J$7,1,$B$49)+E136*(INDEX($C$8:$J$8,1,$B$49)+E136*(INDEX($C$9:$J$9,1,$B$49)+E136*(INDEX($C$10:$J$10,1,$B$49)+E136*(INDEX($C$11:$J$11,1,$B$49)+E136*(INDEX($C$12:$J$12,1,$B$49)))))))</f>
        <v/>
      </c>
      <c r="G136" s="15">
        <f>INDEX($C$6:$J$6,1,$B$49+1)+E136*(INDEX($C$7:$J$7,1,$B$49+1)+E136*(INDEX($C$8:$J$8,1,$B$49+1)+E136*(INDEX($C$9:$J$9,1,$B$49+1)+E136*(INDEX($C$10:$J$10,1,$B$49+1)+E136*(INDEX($C$11:$J$11,1,$B$49+1)+E136*(INDEX($C$12:$J$12,1,$B$49+1)))))))</f>
        <v/>
      </c>
      <c r="H136" s="18">
        <f>$B$44*(F136+$B$52*(G136-F136))</f>
        <v/>
      </c>
      <c r="I136" s="19">
        <f>H136*$B$45/C136</f>
        <v/>
      </c>
      <c r="J136" s="12">
        <f>0.5*$B$40*C136^2</f>
        <v/>
      </c>
      <c r="K136" s="12">
        <f>$B$24*J136*$B$19</f>
        <v/>
      </c>
      <c r="L136" s="12">
        <f>$B$33^2/(J136*$B$19*PI()*$B$43*$B$25)</f>
        <v/>
      </c>
      <c r="M136" s="19">
        <f>K136+L136</f>
        <v/>
      </c>
      <c r="N136" s="19">
        <f>(I136-M136)*C136/$B$33*60</f>
        <v/>
      </c>
      <c r="O136" s="12">
        <f>DEGREES(ASIN(MIN(1,MAX(-1,(I136-M136)/$B$33))))</f>
        <v/>
      </c>
      <c r="P136" s="19">
        <f>M136*C136/$B$33*60</f>
        <v/>
      </c>
      <c r="Q136" s="12">
        <f>DEGREES(ASIN(MIN(1,MAX(-1,M136/$B$33))))</f>
        <v/>
      </c>
    </row>
    <row r="137">
      <c r="A137" s="36" t="n">
        <v>81</v>
      </c>
      <c r="B137" s="19">
        <f>A137/SQRT($B$39)</f>
        <v/>
      </c>
      <c r="C137" s="12">
        <f>B137/0.5924838</f>
        <v/>
      </c>
      <c r="D137" s="18">
        <f>C137/($B$46*$B$23)</f>
        <v/>
      </c>
      <c r="E137" s="18">
        <f>D137/$B$47^(1/3)</f>
        <v/>
      </c>
      <c r="F137" s="15">
        <f>INDEX($C$6:$J$6,1,$B$49)+E137*(INDEX($C$7:$J$7,1,$B$49)+E137*(INDEX($C$8:$J$8,1,$B$49)+E137*(INDEX($C$9:$J$9,1,$B$49)+E137*(INDEX($C$10:$J$10,1,$B$49)+E137*(INDEX($C$11:$J$11,1,$B$49)+E137*(INDEX($C$12:$J$12,1,$B$49)))))))</f>
        <v/>
      </c>
      <c r="G137" s="15">
        <f>INDEX($C$6:$J$6,1,$B$49+1)+E137*(INDEX($C$7:$J$7,1,$B$49+1)+E137*(INDEX($C$8:$J$8,1,$B$49+1)+E137*(INDEX($C$9:$J$9,1,$B$49+1)+E137*(INDEX($C$10:$J$10,1,$B$49+1)+E137*(INDEX($C$11:$J$11,1,$B$49+1)+E137*(INDEX($C$12:$J$12,1,$B$49+1)))))))</f>
        <v/>
      </c>
      <c r="H137" s="18">
        <f>$B$44*(F137+$B$52*(G137-F137))</f>
        <v/>
      </c>
      <c r="I137" s="19">
        <f>H137*$B$45/C137</f>
        <v/>
      </c>
      <c r="J137" s="12">
        <f>0.5*$B$40*C137^2</f>
        <v/>
      </c>
      <c r="K137" s="12">
        <f>$B$24*J137*$B$19</f>
        <v/>
      </c>
      <c r="L137" s="12">
        <f>$B$33^2/(J137*$B$19*PI()*$B$43*$B$25)</f>
        <v/>
      </c>
      <c r="M137" s="19">
        <f>K137+L137</f>
        <v/>
      </c>
      <c r="N137" s="19">
        <f>(I137-M137)*C137/$B$33*60</f>
        <v/>
      </c>
      <c r="O137" s="12">
        <f>DEGREES(ASIN(MIN(1,MAX(-1,(I137-M137)/$B$33))))</f>
        <v/>
      </c>
      <c r="P137" s="19">
        <f>M137*C137/$B$33*60</f>
        <v/>
      </c>
      <c r="Q137" s="12">
        <f>DEGREES(ASIN(MIN(1,MAX(-1,M137/$B$33))))</f>
        <v/>
      </c>
    </row>
    <row r="138">
      <c r="A138" s="36" t="n">
        <v>81.5</v>
      </c>
      <c r="B138" s="19">
        <f>A138/SQRT($B$39)</f>
        <v/>
      </c>
      <c r="C138" s="12">
        <f>B138/0.5924838</f>
        <v/>
      </c>
      <c r="D138" s="18">
        <f>C138/($B$46*$B$23)</f>
        <v/>
      </c>
      <c r="E138" s="18">
        <f>D138/$B$47^(1/3)</f>
        <v/>
      </c>
      <c r="F138" s="15">
        <f>INDEX($C$6:$J$6,1,$B$49)+E138*(INDEX($C$7:$J$7,1,$B$49)+E138*(INDEX($C$8:$J$8,1,$B$49)+E138*(INDEX($C$9:$J$9,1,$B$49)+E138*(INDEX($C$10:$J$10,1,$B$49)+E138*(INDEX($C$11:$J$11,1,$B$49)+E138*(INDEX($C$12:$J$12,1,$B$49)))))))</f>
        <v/>
      </c>
      <c r="G138" s="15">
        <f>INDEX($C$6:$J$6,1,$B$49+1)+E138*(INDEX($C$7:$J$7,1,$B$49+1)+E138*(INDEX($C$8:$J$8,1,$B$49+1)+E138*(INDEX($C$9:$J$9,1,$B$49+1)+E138*(INDEX($C$10:$J$10,1,$B$49+1)+E138*(INDEX($C$11:$J$11,1,$B$49+1)+E138*(INDEX($C$12:$J$12,1,$B$49+1)))))))</f>
        <v/>
      </c>
      <c r="H138" s="18">
        <f>$B$44*(F138+$B$52*(G138-F138))</f>
        <v/>
      </c>
      <c r="I138" s="19">
        <f>H138*$B$45/C138</f>
        <v/>
      </c>
      <c r="J138" s="12">
        <f>0.5*$B$40*C138^2</f>
        <v/>
      </c>
      <c r="K138" s="12">
        <f>$B$24*J138*$B$19</f>
        <v/>
      </c>
      <c r="L138" s="12">
        <f>$B$33^2/(J138*$B$19*PI()*$B$43*$B$25)</f>
        <v/>
      </c>
      <c r="M138" s="19">
        <f>K138+L138</f>
        <v/>
      </c>
      <c r="N138" s="19">
        <f>(I138-M138)*C138/$B$33*60</f>
        <v/>
      </c>
      <c r="O138" s="12">
        <f>DEGREES(ASIN(MIN(1,MAX(-1,(I138-M138)/$B$33))))</f>
        <v/>
      </c>
      <c r="P138" s="19">
        <f>M138*C138/$B$33*60</f>
        <v/>
      </c>
      <c r="Q138" s="12">
        <f>DEGREES(ASIN(MIN(1,MAX(-1,M138/$B$33))))</f>
        <v/>
      </c>
    </row>
    <row r="139">
      <c r="A139" s="36" t="n">
        <v>82</v>
      </c>
      <c r="B139" s="19">
        <f>A139/SQRT($B$39)</f>
        <v/>
      </c>
      <c r="C139" s="12">
        <f>B139/0.5924838</f>
        <v/>
      </c>
      <c r="D139" s="18">
        <f>C139/($B$46*$B$23)</f>
        <v/>
      </c>
      <c r="E139" s="18">
        <f>D139/$B$47^(1/3)</f>
        <v/>
      </c>
      <c r="F139" s="15">
        <f>INDEX($C$6:$J$6,1,$B$49)+E139*(INDEX($C$7:$J$7,1,$B$49)+E139*(INDEX($C$8:$J$8,1,$B$49)+E139*(INDEX($C$9:$J$9,1,$B$49)+E139*(INDEX($C$10:$J$10,1,$B$49)+E139*(INDEX($C$11:$J$11,1,$B$49)+E139*(INDEX($C$12:$J$12,1,$B$49)))))))</f>
        <v/>
      </c>
      <c r="G139" s="15">
        <f>INDEX($C$6:$J$6,1,$B$49+1)+E139*(INDEX($C$7:$J$7,1,$B$49+1)+E139*(INDEX($C$8:$J$8,1,$B$49+1)+E139*(INDEX($C$9:$J$9,1,$B$49+1)+E139*(INDEX($C$10:$J$10,1,$B$49+1)+E139*(INDEX($C$11:$J$11,1,$B$49+1)+E139*(INDEX($C$12:$J$12,1,$B$49+1)))))))</f>
        <v/>
      </c>
      <c r="H139" s="18">
        <f>$B$44*(F139+$B$52*(G139-F139))</f>
        <v/>
      </c>
      <c r="I139" s="19">
        <f>H139*$B$45/C139</f>
        <v/>
      </c>
      <c r="J139" s="12">
        <f>0.5*$B$40*C139^2</f>
        <v/>
      </c>
      <c r="K139" s="12">
        <f>$B$24*J139*$B$19</f>
        <v/>
      </c>
      <c r="L139" s="12">
        <f>$B$33^2/(J139*$B$19*PI()*$B$43*$B$25)</f>
        <v/>
      </c>
      <c r="M139" s="19">
        <f>K139+L139</f>
        <v/>
      </c>
      <c r="N139" s="19">
        <f>(I139-M139)*C139/$B$33*60</f>
        <v/>
      </c>
      <c r="O139" s="12">
        <f>DEGREES(ASIN(MIN(1,MAX(-1,(I139-M139)/$B$33))))</f>
        <v/>
      </c>
      <c r="P139" s="19">
        <f>M139*C139/$B$33*60</f>
        <v/>
      </c>
      <c r="Q139" s="12">
        <f>DEGREES(ASIN(MIN(1,MAX(-1,M139/$B$33))))</f>
        <v/>
      </c>
    </row>
    <row r="140">
      <c r="A140" s="36" t="n">
        <v>82.5</v>
      </c>
      <c r="B140" s="19">
        <f>A140/SQRT($B$39)</f>
        <v/>
      </c>
      <c r="C140" s="12">
        <f>B140/0.5924838</f>
        <v/>
      </c>
      <c r="D140" s="18">
        <f>C140/($B$46*$B$23)</f>
        <v/>
      </c>
      <c r="E140" s="18">
        <f>D140/$B$47^(1/3)</f>
        <v/>
      </c>
      <c r="F140" s="15">
        <f>INDEX($C$6:$J$6,1,$B$49)+E140*(INDEX($C$7:$J$7,1,$B$49)+E140*(INDEX($C$8:$J$8,1,$B$49)+E140*(INDEX($C$9:$J$9,1,$B$49)+E140*(INDEX($C$10:$J$10,1,$B$49)+E140*(INDEX($C$11:$J$11,1,$B$49)+E140*(INDEX($C$12:$J$12,1,$B$49)))))))</f>
        <v/>
      </c>
      <c r="G140" s="15">
        <f>INDEX($C$6:$J$6,1,$B$49+1)+E140*(INDEX($C$7:$J$7,1,$B$49+1)+E140*(INDEX($C$8:$J$8,1,$B$49+1)+E140*(INDEX($C$9:$J$9,1,$B$49+1)+E140*(INDEX($C$10:$J$10,1,$B$49+1)+E140*(INDEX($C$11:$J$11,1,$B$49+1)+E140*(INDEX($C$12:$J$12,1,$B$49+1)))))))</f>
        <v/>
      </c>
      <c r="H140" s="18">
        <f>$B$44*(F140+$B$52*(G140-F140))</f>
        <v/>
      </c>
      <c r="I140" s="19">
        <f>H140*$B$45/C140</f>
        <v/>
      </c>
      <c r="J140" s="12">
        <f>0.5*$B$40*C140^2</f>
        <v/>
      </c>
      <c r="K140" s="12">
        <f>$B$24*J140*$B$19</f>
        <v/>
      </c>
      <c r="L140" s="12">
        <f>$B$33^2/(J140*$B$19*PI()*$B$43*$B$25)</f>
        <v/>
      </c>
      <c r="M140" s="19">
        <f>K140+L140</f>
        <v/>
      </c>
      <c r="N140" s="19">
        <f>(I140-M140)*C140/$B$33*60</f>
        <v/>
      </c>
      <c r="O140" s="12">
        <f>DEGREES(ASIN(MIN(1,MAX(-1,(I140-M140)/$B$33))))</f>
        <v/>
      </c>
      <c r="P140" s="19">
        <f>M140*C140/$B$33*60</f>
        <v/>
      </c>
      <c r="Q140" s="12">
        <f>DEGREES(ASIN(MIN(1,MAX(-1,M140/$B$33))))</f>
        <v/>
      </c>
    </row>
    <row r="141">
      <c r="A141" s="36" t="n">
        <v>83</v>
      </c>
      <c r="B141" s="19">
        <f>A141/SQRT($B$39)</f>
        <v/>
      </c>
      <c r="C141" s="12">
        <f>B141/0.5924838</f>
        <v/>
      </c>
      <c r="D141" s="18">
        <f>C141/($B$46*$B$23)</f>
        <v/>
      </c>
      <c r="E141" s="18">
        <f>D141/$B$47^(1/3)</f>
        <v/>
      </c>
      <c r="F141" s="15">
        <f>INDEX($C$6:$J$6,1,$B$49)+E141*(INDEX($C$7:$J$7,1,$B$49)+E141*(INDEX($C$8:$J$8,1,$B$49)+E141*(INDEX($C$9:$J$9,1,$B$49)+E141*(INDEX($C$10:$J$10,1,$B$49)+E141*(INDEX($C$11:$J$11,1,$B$49)+E141*(INDEX($C$12:$J$12,1,$B$49)))))))</f>
        <v/>
      </c>
      <c r="G141" s="15">
        <f>INDEX($C$6:$J$6,1,$B$49+1)+E141*(INDEX($C$7:$J$7,1,$B$49+1)+E141*(INDEX($C$8:$J$8,1,$B$49+1)+E141*(INDEX($C$9:$J$9,1,$B$49+1)+E141*(INDEX($C$10:$J$10,1,$B$49+1)+E141*(INDEX($C$11:$J$11,1,$B$49+1)+E141*(INDEX($C$12:$J$12,1,$B$49+1)))))))</f>
        <v/>
      </c>
      <c r="H141" s="18">
        <f>$B$44*(F141+$B$52*(G141-F141))</f>
        <v/>
      </c>
      <c r="I141" s="19">
        <f>H141*$B$45/C141</f>
        <v/>
      </c>
      <c r="J141" s="12">
        <f>0.5*$B$40*C141^2</f>
        <v/>
      </c>
      <c r="K141" s="12">
        <f>$B$24*J141*$B$19</f>
        <v/>
      </c>
      <c r="L141" s="12">
        <f>$B$33^2/(J141*$B$19*PI()*$B$43*$B$25)</f>
        <v/>
      </c>
      <c r="M141" s="19">
        <f>K141+L141</f>
        <v/>
      </c>
      <c r="N141" s="19">
        <f>(I141-M141)*C141/$B$33*60</f>
        <v/>
      </c>
      <c r="O141" s="12">
        <f>DEGREES(ASIN(MIN(1,MAX(-1,(I141-M141)/$B$33))))</f>
        <v/>
      </c>
      <c r="P141" s="19">
        <f>M141*C141/$B$33*60</f>
        <v/>
      </c>
      <c r="Q141" s="12">
        <f>DEGREES(ASIN(MIN(1,MAX(-1,M141/$B$33))))</f>
        <v/>
      </c>
    </row>
    <row r="142">
      <c r="A142" s="36" t="n">
        <v>83.5</v>
      </c>
      <c r="B142" s="19">
        <f>A142/SQRT($B$39)</f>
        <v/>
      </c>
      <c r="C142" s="12">
        <f>B142/0.5924838</f>
        <v/>
      </c>
      <c r="D142" s="18">
        <f>C142/($B$46*$B$23)</f>
        <v/>
      </c>
      <c r="E142" s="18">
        <f>D142/$B$47^(1/3)</f>
        <v/>
      </c>
      <c r="F142" s="15">
        <f>INDEX($C$6:$J$6,1,$B$49)+E142*(INDEX($C$7:$J$7,1,$B$49)+E142*(INDEX($C$8:$J$8,1,$B$49)+E142*(INDEX($C$9:$J$9,1,$B$49)+E142*(INDEX($C$10:$J$10,1,$B$49)+E142*(INDEX($C$11:$J$11,1,$B$49)+E142*(INDEX($C$12:$J$12,1,$B$49)))))))</f>
        <v/>
      </c>
      <c r="G142" s="15">
        <f>INDEX($C$6:$J$6,1,$B$49+1)+E142*(INDEX($C$7:$J$7,1,$B$49+1)+E142*(INDEX($C$8:$J$8,1,$B$49+1)+E142*(INDEX($C$9:$J$9,1,$B$49+1)+E142*(INDEX($C$10:$J$10,1,$B$49+1)+E142*(INDEX($C$11:$J$11,1,$B$49+1)+E142*(INDEX($C$12:$J$12,1,$B$49+1)))))))</f>
        <v/>
      </c>
      <c r="H142" s="18">
        <f>$B$44*(F142+$B$52*(G142-F142))</f>
        <v/>
      </c>
      <c r="I142" s="19">
        <f>H142*$B$45/C142</f>
        <v/>
      </c>
      <c r="J142" s="12">
        <f>0.5*$B$40*C142^2</f>
        <v/>
      </c>
      <c r="K142" s="12">
        <f>$B$24*J142*$B$19</f>
        <v/>
      </c>
      <c r="L142" s="12">
        <f>$B$33^2/(J142*$B$19*PI()*$B$43*$B$25)</f>
        <v/>
      </c>
      <c r="M142" s="19">
        <f>K142+L142</f>
        <v/>
      </c>
      <c r="N142" s="19">
        <f>(I142-M142)*C142/$B$33*60</f>
        <v/>
      </c>
      <c r="O142" s="12">
        <f>DEGREES(ASIN(MIN(1,MAX(-1,(I142-M142)/$B$33))))</f>
        <v/>
      </c>
      <c r="P142" s="19">
        <f>M142*C142/$B$33*60</f>
        <v/>
      </c>
      <c r="Q142" s="12">
        <f>DEGREES(ASIN(MIN(1,MAX(-1,M142/$B$33))))</f>
        <v/>
      </c>
    </row>
    <row r="143">
      <c r="A143" s="36" t="n">
        <v>84</v>
      </c>
      <c r="B143" s="19">
        <f>A143/SQRT($B$39)</f>
        <v/>
      </c>
      <c r="C143" s="12">
        <f>B143/0.5924838</f>
        <v/>
      </c>
      <c r="D143" s="18">
        <f>C143/($B$46*$B$23)</f>
        <v/>
      </c>
      <c r="E143" s="18">
        <f>D143/$B$47^(1/3)</f>
        <v/>
      </c>
      <c r="F143" s="15">
        <f>INDEX($C$6:$J$6,1,$B$49)+E143*(INDEX($C$7:$J$7,1,$B$49)+E143*(INDEX($C$8:$J$8,1,$B$49)+E143*(INDEX($C$9:$J$9,1,$B$49)+E143*(INDEX($C$10:$J$10,1,$B$49)+E143*(INDEX($C$11:$J$11,1,$B$49)+E143*(INDEX($C$12:$J$12,1,$B$49)))))))</f>
        <v/>
      </c>
      <c r="G143" s="15">
        <f>INDEX($C$6:$J$6,1,$B$49+1)+E143*(INDEX($C$7:$J$7,1,$B$49+1)+E143*(INDEX($C$8:$J$8,1,$B$49+1)+E143*(INDEX($C$9:$J$9,1,$B$49+1)+E143*(INDEX($C$10:$J$10,1,$B$49+1)+E143*(INDEX($C$11:$J$11,1,$B$49+1)+E143*(INDEX($C$12:$J$12,1,$B$49+1)))))))</f>
        <v/>
      </c>
      <c r="H143" s="18">
        <f>$B$44*(F143+$B$52*(G143-F143))</f>
        <v/>
      </c>
      <c r="I143" s="19">
        <f>H143*$B$45/C143</f>
        <v/>
      </c>
      <c r="J143" s="12">
        <f>0.5*$B$40*C143^2</f>
        <v/>
      </c>
      <c r="K143" s="12">
        <f>$B$24*J143*$B$19</f>
        <v/>
      </c>
      <c r="L143" s="12">
        <f>$B$33^2/(J143*$B$19*PI()*$B$43*$B$25)</f>
        <v/>
      </c>
      <c r="M143" s="19">
        <f>K143+L143</f>
        <v/>
      </c>
      <c r="N143" s="19">
        <f>(I143-M143)*C143/$B$33*60</f>
        <v/>
      </c>
      <c r="O143" s="12">
        <f>DEGREES(ASIN(MIN(1,MAX(-1,(I143-M143)/$B$33))))</f>
        <v/>
      </c>
      <c r="P143" s="19">
        <f>M143*C143/$B$33*60</f>
        <v/>
      </c>
      <c r="Q143" s="12">
        <f>DEGREES(ASIN(MIN(1,MAX(-1,M143/$B$33))))</f>
        <v/>
      </c>
    </row>
    <row r="144">
      <c r="A144" s="36" t="n">
        <v>84.5</v>
      </c>
      <c r="B144" s="19">
        <f>A144/SQRT($B$39)</f>
        <v/>
      </c>
      <c r="C144" s="12">
        <f>B144/0.5924838</f>
        <v/>
      </c>
      <c r="D144" s="18">
        <f>C144/($B$46*$B$23)</f>
        <v/>
      </c>
      <c r="E144" s="18">
        <f>D144/$B$47^(1/3)</f>
        <v/>
      </c>
      <c r="F144" s="15">
        <f>INDEX($C$6:$J$6,1,$B$49)+E144*(INDEX($C$7:$J$7,1,$B$49)+E144*(INDEX($C$8:$J$8,1,$B$49)+E144*(INDEX($C$9:$J$9,1,$B$49)+E144*(INDEX($C$10:$J$10,1,$B$49)+E144*(INDEX($C$11:$J$11,1,$B$49)+E144*(INDEX($C$12:$J$12,1,$B$49)))))))</f>
        <v/>
      </c>
      <c r="G144" s="15">
        <f>INDEX($C$6:$J$6,1,$B$49+1)+E144*(INDEX($C$7:$J$7,1,$B$49+1)+E144*(INDEX($C$8:$J$8,1,$B$49+1)+E144*(INDEX($C$9:$J$9,1,$B$49+1)+E144*(INDEX($C$10:$J$10,1,$B$49+1)+E144*(INDEX($C$11:$J$11,1,$B$49+1)+E144*(INDEX($C$12:$J$12,1,$B$49+1)))))))</f>
        <v/>
      </c>
      <c r="H144" s="18">
        <f>$B$44*(F144+$B$52*(G144-F144))</f>
        <v/>
      </c>
      <c r="I144" s="19">
        <f>H144*$B$45/C144</f>
        <v/>
      </c>
      <c r="J144" s="12">
        <f>0.5*$B$40*C144^2</f>
        <v/>
      </c>
      <c r="K144" s="12">
        <f>$B$24*J144*$B$19</f>
        <v/>
      </c>
      <c r="L144" s="12">
        <f>$B$33^2/(J144*$B$19*PI()*$B$43*$B$25)</f>
        <v/>
      </c>
      <c r="M144" s="19">
        <f>K144+L144</f>
        <v/>
      </c>
      <c r="N144" s="19">
        <f>(I144-M144)*C144/$B$33*60</f>
        <v/>
      </c>
      <c r="O144" s="12">
        <f>DEGREES(ASIN(MIN(1,MAX(-1,(I144-M144)/$B$33))))</f>
        <v/>
      </c>
      <c r="P144" s="19">
        <f>M144*C144/$B$33*60</f>
        <v/>
      </c>
      <c r="Q144" s="12">
        <f>DEGREES(ASIN(MIN(1,MAX(-1,M144/$B$33))))</f>
        <v/>
      </c>
    </row>
    <row r="145">
      <c r="A145" s="36" t="n">
        <v>85</v>
      </c>
      <c r="B145" s="19">
        <f>A145/SQRT($B$39)</f>
        <v/>
      </c>
      <c r="C145" s="12">
        <f>B145/0.5924838</f>
        <v/>
      </c>
      <c r="D145" s="18">
        <f>C145/($B$46*$B$23)</f>
        <v/>
      </c>
      <c r="E145" s="18">
        <f>D145/$B$47^(1/3)</f>
        <v/>
      </c>
      <c r="F145" s="15">
        <f>INDEX($C$6:$J$6,1,$B$49)+E145*(INDEX($C$7:$J$7,1,$B$49)+E145*(INDEX($C$8:$J$8,1,$B$49)+E145*(INDEX($C$9:$J$9,1,$B$49)+E145*(INDEX($C$10:$J$10,1,$B$49)+E145*(INDEX($C$11:$J$11,1,$B$49)+E145*(INDEX($C$12:$J$12,1,$B$49)))))))</f>
        <v/>
      </c>
      <c r="G145" s="15">
        <f>INDEX($C$6:$J$6,1,$B$49+1)+E145*(INDEX($C$7:$J$7,1,$B$49+1)+E145*(INDEX($C$8:$J$8,1,$B$49+1)+E145*(INDEX($C$9:$J$9,1,$B$49+1)+E145*(INDEX($C$10:$J$10,1,$B$49+1)+E145*(INDEX($C$11:$J$11,1,$B$49+1)+E145*(INDEX($C$12:$J$12,1,$B$49+1)))))))</f>
        <v/>
      </c>
      <c r="H145" s="18">
        <f>$B$44*(F145+$B$52*(G145-F145))</f>
        <v/>
      </c>
      <c r="I145" s="19">
        <f>H145*$B$45/C145</f>
        <v/>
      </c>
      <c r="J145" s="12">
        <f>0.5*$B$40*C145^2</f>
        <v/>
      </c>
      <c r="K145" s="12">
        <f>$B$24*J145*$B$19</f>
        <v/>
      </c>
      <c r="L145" s="12">
        <f>$B$33^2/(J145*$B$19*PI()*$B$43*$B$25)</f>
        <v/>
      </c>
      <c r="M145" s="19">
        <f>K145+L145</f>
        <v/>
      </c>
      <c r="N145" s="19">
        <f>(I145-M145)*C145/$B$33*60</f>
        <v/>
      </c>
      <c r="O145" s="12">
        <f>DEGREES(ASIN(MIN(1,MAX(-1,(I145-M145)/$B$33))))</f>
        <v/>
      </c>
      <c r="P145" s="19">
        <f>M145*C145/$B$33*60</f>
        <v/>
      </c>
      <c r="Q145" s="12">
        <f>DEGREES(ASIN(MIN(1,MAX(-1,M145/$B$33))))</f>
        <v/>
      </c>
    </row>
    <row r="146">
      <c r="A146" s="36" t="n">
        <v>85.5</v>
      </c>
      <c r="B146" s="19">
        <f>A146/SQRT($B$39)</f>
        <v/>
      </c>
      <c r="C146" s="12">
        <f>B146/0.5924838</f>
        <v/>
      </c>
      <c r="D146" s="18">
        <f>C146/($B$46*$B$23)</f>
        <v/>
      </c>
      <c r="E146" s="18">
        <f>D146/$B$47^(1/3)</f>
        <v/>
      </c>
      <c r="F146" s="15">
        <f>INDEX($C$6:$J$6,1,$B$49)+E146*(INDEX($C$7:$J$7,1,$B$49)+E146*(INDEX($C$8:$J$8,1,$B$49)+E146*(INDEX($C$9:$J$9,1,$B$49)+E146*(INDEX($C$10:$J$10,1,$B$49)+E146*(INDEX($C$11:$J$11,1,$B$49)+E146*(INDEX($C$12:$J$12,1,$B$49)))))))</f>
        <v/>
      </c>
      <c r="G146" s="15">
        <f>INDEX($C$6:$J$6,1,$B$49+1)+E146*(INDEX($C$7:$J$7,1,$B$49+1)+E146*(INDEX($C$8:$J$8,1,$B$49+1)+E146*(INDEX($C$9:$J$9,1,$B$49+1)+E146*(INDEX($C$10:$J$10,1,$B$49+1)+E146*(INDEX($C$11:$J$11,1,$B$49+1)+E146*(INDEX($C$12:$J$12,1,$B$49+1)))))))</f>
        <v/>
      </c>
      <c r="H146" s="18">
        <f>$B$44*(F146+$B$52*(G146-F146))</f>
        <v/>
      </c>
      <c r="I146" s="19">
        <f>H146*$B$45/C146</f>
        <v/>
      </c>
      <c r="J146" s="12">
        <f>0.5*$B$40*C146^2</f>
        <v/>
      </c>
      <c r="K146" s="12">
        <f>$B$24*J146*$B$19</f>
        <v/>
      </c>
      <c r="L146" s="12">
        <f>$B$33^2/(J146*$B$19*PI()*$B$43*$B$25)</f>
        <v/>
      </c>
      <c r="M146" s="19">
        <f>K146+L146</f>
        <v/>
      </c>
      <c r="N146" s="19">
        <f>(I146-M146)*C146/$B$33*60</f>
        <v/>
      </c>
      <c r="O146" s="12">
        <f>DEGREES(ASIN(MIN(1,MAX(-1,(I146-M146)/$B$33))))</f>
        <v/>
      </c>
      <c r="P146" s="19">
        <f>M146*C146/$B$33*60</f>
        <v/>
      </c>
      <c r="Q146" s="12">
        <f>DEGREES(ASIN(MIN(1,MAX(-1,M146/$B$33))))</f>
        <v/>
      </c>
    </row>
    <row r="147">
      <c r="A147" s="36" t="n">
        <v>86</v>
      </c>
      <c r="B147" s="19">
        <f>A147/SQRT($B$39)</f>
        <v/>
      </c>
      <c r="C147" s="12">
        <f>B147/0.5924838</f>
        <v/>
      </c>
      <c r="D147" s="18">
        <f>C147/($B$46*$B$23)</f>
        <v/>
      </c>
      <c r="E147" s="18">
        <f>D147/$B$47^(1/3)</f>
        <v/>
      </c>
      <c r="F147" s="15">
        <f>INDEX($C$6:$J$6,1,$B$49)+E147*(INDEX($C$7:$J$7,1,$B$49)+E147*(INDEX($C$8:$J$8,1,$B$49)+E147*(INDEX($C$9:$J$9,1,$B$49)+E147*(INDEX($C$10:$J$10,1,$B$49)+E147*(INDEX($C$11:$J$11,1,$B$49)+E147*(INDEX($C$12:$J$12,1,$B$49)))))))</f>
        <v/>
      </c>
      <c r="G147" s="15">
        <f>INDEX($C$6:$J$6,1,$B$49+1)+E147*(INDEX($C$7:$J$7,1,$B$49+1)+E147*(INDEX($C$8:$J$8,1,$B$49+1)+E147*(INDEX($C$9:$J$9,1,$B$49+1)+E147*(INDEX($C$10:$J$10,1,$B$49+1)+E147*(INDEX($C$11:$J$11,1,$B$49+1)+E147*(INDEX($C$12:$J$12,1,$B$49+1)))))))</f>
        <v/>
      </c>
      <c r="H147" s="18">
        <f>$B$44*(F147+$B$52*(G147-F147))</f>
        <v/>
      </c>
      <c r="I147" s="19">
        <f>H147*$B$45/C147</f>
        <v/>
      </c>
      <c r="J147" s="12">
        <f>0.5*$B$40*C147^2</f>
        <v/>
      </c>
      <c r="K147" s="12">
        <f>$B$24*J147*$B$19</f>
        <v/>
      </c>
      <c r="L147" s="12">
        <f>$B$33^2/(J147*$B$19*PI()*$B$43*$B$25)</f>
        <v/>
      </c>
      <c r="M147" s="19">
        <f>K147+L147</f>
        <v/>
      </c>
      <c r="N147" s="19">
        <f>(I147-M147)*C147/$B$33*60</f>
        <v/>
      </c>
      <c r="O147" s="12">
        <f>DEGREES(ASIN(MIN(1,MAX(-1,(I147-M147)/$B$33))))</f>
        <v/>
      </c>
      <c r="P147" s="19">
        <f>M147*C147/$B$33*60</f>
        <v/>
      </c>
      <c r="Q147" s="12">
        <f>DEGREES(ASIN(MIN(1,MAX(-1,M147/$B$33))))</f>
        <v/>
      </c>
    </row>
    <row r="148">
      <c r="A148" s="36" t="n">
        <v>86.5</v>
      </c>
      <c r="B148" s="19">
        <f>A148/SQRT($B$39)</f>
        <v/>
      </c>
      <c r="C148" s="12">
        <f>B148/0.5924838</f>
        <v/>
      </c>
      <c r="D148" s="18">
        <f>C148/($B$46*$B$23)</f>
        <v/>
      </c>
      <c r="E148" s="18">
        <f>D148/$B$47^(1/3)</f>
        <v/>
      </c>
      <c r="F148" s="15">
        <f>INDEX($C$6:$J$6,1,$B$49)+E148*(INDEX($C$7:$J$7,1,$B$49)+E148*(INDEX($C$8:$J$8,1,$B$49)+E148*(INDEX($C$9:$J$9,1,$B$49)+E148*(INDEX($C$10:$J$10,1,$B$49)+E148*(INDEX($C$11:$J$11,1,$B$49)+E148*(INDEX($C$12:$J$12,1,$B$49)))))))</f>
        <v/>
      </c>
      <c r="G148" s="15">
        <f>INDEX($C$6:$J$6,1,$B$49+1)+E148*(INDEX($C$7:$J$7,1,$B$49+1)+E148*(INDEX($C$8:$J$8,1,$B$49+1)+E148*(INDEX($C$9:$J$9,1,$B$49+1)+E148*(INDEX($C$10:$J$10,1,$B$49+1)+E148*(INDEX($C$11:$J$11,1,$B$49+1)+E148*(INDEX($C$12:$J$12,1,$B$49+1)))))))</f>
        <v/>
      </c>
      <c r="H148" s="18">
        <f>$B$44*(F148+$B$52*(G148-F148))</f>
        <v/>
      </c>
      <c r="I148" s="19">
        <f>H148*$B$45/C148</f>
        <v/>
      </c>
      <c r="J148" s="12">
        <f>0.5*$B$40*C148^2</f>
        <v/>
      </c>
      <c r="K148" s="12">
        <f>$B$24*J148*$B$19</f>
        <v/>
      </c>
      <c r="L148" s="12">
        <f>$B$33^2/(J148*$B$19*PI()*$B$43*$B$25)</f>
        <v/>
      </c>
      <c r="M148" s="19">
        <f>K148+L148</f>
        <v/>
      </c>
      <c r="N148" s="19">
        <f>(I148-M148)*C148/$B$33*60</f>
        <v/>
      </c>
      <c r="O148" s="12">
        <f>DEGREES(ASIN(MIN(1,MAX(-1,(I148-M148)/$B$33))))</f>
        <v/>
      </c>
      <c r="P148" s="19">
        <f>M148*C148/$B$33*60</f>
        <v/>
      </c>
      <c r="Q148" s="12">
        <f>DEGREES(ASIN(MIN(1,MAX(-1,M148/$B$33))))</f>
        <v/>
      </c>
    </row>
    <row r="149">
      <c r="A149" s="36" t="n">
        <v>87</v>
      </c>
      <c r="B149" s="19">
        <f>A149/SQRT($B$39)</f>
        <v/>
      </c>
      <c r="C149" s="12">
        <f>B149/0.5924838</f>
        <v/>
      </c>
      <c r="D149" s="18">
        <f>C149/($B$46*$B$23)</f>
        <v/>
      </c>
      <c r="E149" s="18">
        <f>D149/$B$47^(1/3)</f>
        <v/>
      </c>
      <c r="F149" s="15">
        <f>INDEX($C$6:$J$6,1,$B$49)+E149*(INDEX($C$7:$J$7,1,$B$49)+E149*(INDEX($C$8:$J$8,1,$B$49)+E149*(INDEX($C$9:$J$9,1,$B$49)+E149*(INDEX($C$10:$J$10,1,$B$49)+E149*(INDEX($C$11:$J$11,1,$B$49)+E149*(INDEX($C$12:$J$12,1,$B$49)))))))</f>
        <v/>
      </c>
      <c r="G149" s="15">
        <f>INDEX($C$6:$J$6,1,$B$49+1)+E149*(INDEX($C$7:$J$7,1,$B$49+1)+E149*(INDEX($C$8:$J$8,1,$B$49+1)+E149*(INDEX($C$9:$J$9,1,$B$49+1)+E149*(INDEX($C$10:$J$10,1,$B$49+1)+E149*(INDEX($C$11:$J$11,1,$B$49+1)+E149*(INDEX($C$12:$J$12,1,$B$49+1)))))))</f>
        <v/>
      </c>
      <c r="H149" s="18">
        <f>$B$44*(F149+$B$52*(G149-F149))</f>
        <v/>
      </c>
      <c r="I149" s="19">
        <f>H149*$B$45/C149</f>
        <v/>
      </c>
      <c r="J149" s="12">
        <f>0.5*$B$40*C149^2</f>
        <v/>
      </c>
      <c r="K149" s="12">
        <f>$B$24*J149*$B$19</f>
        <v/>
      </c>
      <c r="L149" s="12">
        <f>$B$33^2/(J149*$B$19*PI()*$B$43*$B$25)</f>
        <v/>
      </c>
      <c r="M149" s="19">
        <f>K149+L149</f>
        <v/>
      </c>
      <c r="N149" s="19">
        <f>(I149-M149)*C149/$B$33*60</f>
        <v/>
      </c>
      <c r="O149" s="12">
        <f>DEGREES(ASIN(MIN(1,MAX(-1,(I149-M149)/$B$33))))</f>
        <v/>
      </c>
      <c r="P149" s="19">
        <f>M149*C149/$B$33*60</f>
        <v/>
      </c>
      <c r="Q149" s="12">
        <f>DEGREES(ASIN(MIN(1,MAX(-1,M149/$B$33))))</f>
        <v/>
      </c>
    </row>
    <row r="150">
      <c r="A150" s="36" t="n">
        <v>87.5</v>
      </c>
      <c r="B150" s="19">
        <f>A150/SQRT($B$39)</f>
        <v/>
      </c>
      <c r="C150" s="12">
        <f>B150/0.5924838</f>
        <v/>
      </c>
      <c r="D150" s="18">
        <f>C150/($B$46*$B$23)</f>
        <v/>
      </c>
      <c r="E150" s="18">
        <f>D150/$B$47^(1/3)</f>
        <v/>
      </c>
      <c r="F150" s="15">
        <f>INDEX($C$6:$J$6,1,$B$49)+E150*(INDEX($C$7:$J$7,1,$B$49)+E150*(INDEX($C$8:$J$8,1,$B$49)+E150*(INDEX($C$9:$J$9,1,$B$49)+E150*(INDEX($C$10:$J$10,1,$B$49)+E150*(INDEX($C$11:$J$11,1,$B$49)+E150*(INDEX($C$12:$J$12,1,$B$49)))))))</f>
        <v/>
      </c>
      <c r="G150" s="15">
        <f>INDEX($C$6:$J$6,1,$B$49+1)+E150*(INDEX($C$7:$J$7,1,$B$49+1)+E150*(INDEX($C$8:$J$8,1,$B$49+1)+E150*(INDEX($C$9:$J$9,1,$B$49+1)+E150*(INDEX($C$10:$J$10,1,$B$49+1)+E150*(INDEX($C$11:$J$11,1,$B$49+1)+E150*(INDEX($C$12:$J$12,1,$B$49+1)))))))</f>
        <v/>
      </c>
      <c r="H150" s="18">
        <f>$B$44*(F150+$B$52*(G150-F150))</f>
        <v/>
      </c>
      <c r="I150" s="19">
        <f>H150*$B$45/C150</f>
        <v/>
      </c>
      <c r="J150" s="12">
        <f>0.5*$B$40*C150^2</f>
        <v/>
      </c>
      <c r="K150" s="12">
        <f>$B$24*J150*$B$19</f>
        <v/>
      </c>
      <c r="L150" s="12">
        <f>$B$33^2/(J150*$B$19*PI()*$B$43*$B$25)</f>
        <v/>
      </c>
      <c r="M150" s="19">
        <f>K150+L150</f>
        <v/>
      </c>
      <c r="N150" s="19">
        <f>(I150-M150)*C150/$B$33*60</f>
        <v/>
      </c>
      <c r="O150" s="12">
        <f>DEGREES(ASIN(MIN(1,MAX(-1,(I150-M150)/$B$33))))</f>
        <v/>
      </c>
      <c r="P150" s="19">
        <f>M150*C150/$B$33*60</f>
        <v/>
      </c>
      <c r="Q150" s="12">
        <f>DEGREES(ASIN(MIN(1,MAX(-1,M150/$B$33))))</f>
        <v/>
      </c>
    </row>
    <row r="151">
      <c r="A151" s="36" t="n">
        <v>88</v>
      </c>
      <c r="B151" s="19">
        <f>A151/SQRT($B$39)</f>
        <v/>
      </c>
      <c r="C151" s="12">
        <f>B151/0.5924838</f>
        <v/>
      </c>
      <c r="D151" s="18">
        <f>C151/($B$46*$B$23)</f>
        <v/>
      </c>
      <c r="E151" s="18">
        <f>D151/$B$47^(1/3)</f>
        <v/>
      </c>
      <c r="F151" s="15">
        <f>INDEX($C$6:$J$6,1,$B$49)+E151*(INDEX($C$7:$J$7,1,$B$49)+E151*(INDEX($C$8:$J$8,1,$B$49)+E151*(INDEX($C$9:$J$9,1,$B$49)+E151*(INDEX($C$10:$J$10,1,$B$49)+E151*(INDEX($C$11:$J$11,1,$B$49)+E151*(INDEX($C$12:$J$12,1,$B$49)))))))</f>
        <v/>
      </c>
      <c r="G151" s="15">
        <f>INDEX($C$6:$J$6,1,$B$49+1)+E151*(INDEX($C$7:$J$7,1,$B$49+1)+E151*(INDEX($C$8:$J$8,1,$B$49+1)+E151*(INDEX($C$9:$J$9,1,$B$49+1)+E151*(INDEX($C$10:$J$10,1,$B$49+1)+E151*(INDEX($C$11:$J$11,1,$B$49+1)+E151*(INDEX($C$12:$J$12,1,$B$49+1)))))))</f>
        <v/>
      </c>
      <c r="H151" s="18">
        <f>$B$44*(F151+$B$52*(G151-F151))</f>
        <v/>
      </c>
      <c r="I151" s="19">
        <f>H151*$B$45/C151</f>
        <v/>
      </c>
      <c r="J151" s="12">
        <f>0.5*$B$40*C151^2</f>
        <v/>
      </c>
      <c r="K151" s="12">
        <f>$B$24*J151*$B$19</f>
        <v/>
      </c>
      <c r="L151" s="12">
        <f>$B$33^2/(J151*$B$19*PI()*$B$43*$B$25)</f>
        <v/>
      </c>
      <c r="M151" s="19">
        <f>K151+L151</f>
        <v/>
      </c>
      <c r="N151" s="19">
        <f>(I151-M151)*C151/$B$33*60</f>
        <v/>
      </c>
      <c r="O151" s="12">
        <f>DEGREES(ASIN(MIN(1,MAX(-1,(I151-M151)/$B$33))))</f>
        <v/>
      </c>
      <c r="P151" s="19">
        <f>M151*C151/$B$33*60</f>
        <v/>
      </c>
      <c r="Q151" s="12">
        <f>DEGREES(ASIN(MIN(1,MAX(-1,M151/$B$33))))</f>
        <v/>
      </c>
    </row>
    <row r="152">
      <c r="A152" s="36" t="n">
        <v>88.5</v>
      </c>
      <c r="B152" s="19">
        <f>A152/SQRT($B$39)</f>
        <v/>
      </c>
      <c r="C152" s="12">
        <f>B152/0.5924838</f>
        <v/>
      </c>
      <c r="D152" s="18">
        <f>C152/($B$46*$B$23)</f>
        <v/>
      </c>
      <c r="E152" s="18">
        <f>D152/$B$47^(1/3)</f>
        <v/>
      </c>
      <c r="F152" s="15">
        <f>INDEX($C$6:$J$6,1,$B$49)+E152*(INDEX($C$7:$J$7,1,$B$49)+E152*(INDEX($C$8:$J$8,1,$B$49)+E152*(INDEX($C$9:$J$9,1,$B$49)+E152*(INDEX($C$10:$J$10,1,$B$49)+E152*(INDEX($C$11:$J$11,1,$B$49)+E152*(INDEX($C$12:$J$12,1,$B$49)))))))</f>
        <v/>
      </c>
      <c r="G152" s="15">
        <f>INDEX($C$6:$J$6,1,$B$49+1)+E152*(INDEX($C$7:$J$7,1,$B$49+1)+E152*(INDEX($C$8:$J$8,1,$B$49+1)+E152*(INDEX($C$9:$J$9,1,$B$49+1)+E152*(INDEX($C$10:$J$10,1,$B$49+1)+E152*(INDEX($C$11:$J$11,1,$B$49+1)+E152*(INDEX($C$12:$J$12,1,$B$49+1)))))))</f>
        <v/>
      </c>
      <c r="H152" s="18">
        <f>$B$44*(F152+$B$52*(G152-F152))</f>
        <v/>
      </c>
      <c r="I152" s="19">
        <f>H152*$B$45/C152</f>
        <v/>
      </c>
      <c r="J152" s="12">
        <f>0.5*$B$40*C152^2</f>
        <v/>
      </c>
      <c r="K152" s="12">
        <f>$B$24*J152*$B$19</f>
        <v/>
      </c>
      <c r="L152" s="12">
        <f>$B$33^2/(J152*$B$19*PI()*$B$43*$B$25)</f>
        <v/>
      </c>
      <c r="M152" s="19">
        <f>K152+L152</f>
        <v/>
      </c>
      <c r="N152" s="19">
        <f>(I152-M152)*C152/$B$33*60</f>
        <v/>
      </c>
      <c r="O152" s="12">
        <f>DEGREES(ASIN(MIN(1,MAX(-1,(I152-M152)/$B$33))))</f>
        <v/>
      </c>
      <c r="P152" s="19">
        <f>M152*C152/$B$33*60</f>
        <v/>
      </c>
      <c r="Q152" s="12">
        <f>DEGREES(ASIN(MIN(1,MAX(-1,M152/$B$33))))</f>
        <v/>
      </c>
    </row>
    <row r="153">
      <c r="A153" s="36" t="n">
        <v>89</v>
      </c>
      <c r="B153" s="19">
        <f>A153/SQRT($B$39)</f>
        <v/>
      </c>
      <c r="C153" s="12">
        <f>B153/0.5924838</f>
        <v/>
      </c>
      <c r="D153" s="18">
        <f>C153/($B$46*$B$23)</f>
        <v/>
      </c>
      <c r="E153" s="18">
        <f>D153/$B$47^(1/3)</f>
        <v/>
      </c>
      <c r="F153" s="15">
        <f>INDEX($C$6:$J$6,1,$B$49)+E153*(INDEX($C$7:$J$7,1,$B$49)+E153*(INDEX($C$8:$J$8,1,$B$49)+E153*(INDEX($C$9:$J$9,1,$B$49)+E153*(INDEX($C$10:$J$10,1,$B$49)+E153*(INDEX($C$11:$J$11,1,$B$49)+E153*(INDEX($C$12:$J$12,1,$B$49)))))))</f>
        <v/>
      </c>
      <c r="G153" s="15">
        <f>INDEX($C$6:$J$6,1,$B$49+1)+E153*(INDEX($C$7:$J$7,1,$B$49+1)+E153*(INDEX($C$8:$J$8,1,$B$49+1)+E153*(INDEX($C$9:$J$9,1,$B$49+1)+E153*(INDEX($C$10:$J$10,1,$B$49+1)+E153*(INDEX($C$11:$J$11,1,$B$49+1)+E153*(INDEX($C$12:$J$12,1,$B$49+1)))))))</f>
        <v/>
      </c>
      <c r="H153" s="18">
        <f>$B$44*(F153+$B$52*(G153-F153))</f>
        <v/>
      </c>
      <c r="I153" s="19">
        <f>H153*$B$45/C153</f>
        <v/>
      </c>
      <c r="J153" s="12">
        <f>0.5*$B$40*C153^2</f>
        <v/>
      </c>
      <c r="K153" s="12">
        <f>$B$24*J153*$B$19</f>
        <v/>
      </c>
      <c r="L153" s="12">
        <f>$B$33^2/(J153*$B$19*PI()*$B$43*$B$25)</f>
        <v/>
      </c>
      <c r="M153" s="19">
        <f>K153+L153</f>
        <v/>
      </c>
      <c r="N153" s="19">
        <f>(I153-M153)*C153/$B$33*60</f>
        <v/>
      </c>
      <c r="O153" s="12">
        <f>DEGREES(ASIN(MIN(1,MAX(-1,(I153-M153)/$B$33))))</f>
        <v/>
      </c>
      <c r="P153" s="19">
        <f>M153*C153/$B$33*60</f>
        <v/>
      </c>
      <c r="Q153" s="12">
        <f>DEGREES(ASIN(MIN(1,MAX(-1,M153/$B$33))))</f>
        <v/>
      </c>
    </row>
    <row r="154">
      <c r="A154" s="36" t="n">
        <v>89.5</v>
      </c>
      <c r="B154" s="19">
        <f>A154/SQRT($B$39)</f>
        <v/>
      </c>
      <c r="C154" s="12">
        <f>B154/0.5924838</f>
        <v/>
      </c>
      <c r="D154" s="18">
        <f>C154/($B$46*$B$23)</f>
        <v/>
      </c>
      <c r="E154" s="18">
        <f>D154/$B$47^(1/3)</f>
        <v/>
      </c>
      <c r="F154" s="15">
        <f>INDEX($C$6:$J$6,1,$B$49)+E154*(INDEX($C$7:$J$7,1,$B$49)+E154*(INDEX($C$8:$J$8,1,$B$49)+E154*(INDEX($C$9:$J$9,1,$B$49)+E154*(INDEX($C$10:$J$10,1,$B$49)+E154*(INDEX($C$11:$J$11,1,$B$49)+E154*(INDEX($C$12:$J$12,1,$B$49)))))))</f>
        <v/>
      </c>
      <c r="G154" s="15">
        <f>INDEX($C$6:$J$6,1,$B$49+1)+E154*(INDEX($C$7:$J$7,1,$B$49+1)+E154*(INDEX($C$8:$J$8,1,$B$49+1)+E154*(INDEX($C$9:$J$9,1,$B$49+1)+E154*(INDEX($C$10:$J$10,1,$B$49+1)+E154*(INDEX($C$11:$J$11,1,$B$49+1)+E154*(INDEX($C$12:$J$12,1,$B$49+1)))))))</f>
        <v/>
      </c>
      <c r="H154" s="18">
        <f>$B$44*(F154+$B$52*(G154-F154))</f>
        <v/>
      </c>
      <c r="I154" s="19">
        <f>H154*$B$45/C154</f>
        <v/>
      </c>
      <c r="J154" s="12">
        <f>0.5*$B$40*C154^2</f>
        <v/>
      </c>
      <c r="K154" s="12">
        <f>$B$24*J154*$B$19</f>
        <v/>
      </c>
      <c r="L154" s="12">
        <f>$B$33^2/(J154*$B$19*PI()*$B$43*$B$25)</f>
        <v/>
      </c>
      <c r="M154" s="19">
        <f>K154+L154</f>
        <v/>
      </c>
      <c r="N154" s="19">
        <f>(I154-M154)*C154/$B$33*60</f>
        <v/>
      </c>
      <c r="O154" s="12">
        <f>DEGREES(ASIN(MIN(1,MAX(-1,(I154-M154)/$B$33))))</f>
        <v/>
      </c>
      <c r="P154" s="19">
        <f>M154*C154/$B$33*60</f>
        <v/>
      </c>
      <c r="Q154" s="12">
        <f>DEGREES(ASIN(MIN(1,MAX(-1,M154/$B$33))))</f>
        <v/>
      </c>
    </row>
    <row r="155">
      <c r="A155" s="36" t="n">
        <v>90</v>
      </c>
      <c r="B155" s="19">
        <f>A155/SQRT($B$39)</f>
        <v/>
      </c>
      <c r="C155" s="12">
        <f>B155/0.5924838</f>
        <v/>
      </c>
      <c r="D155" s="18">
        <f>C155/($B$46*$B$23)</f>
        <v/>
      </c>
      <c r="E155" s="18">
        <f>D155/$B$47^(1/3)</f>
        <v/>
      </c>
      <c r="F155" s="15">
        <f>INDEX($C$6:$J$6,1,$B$49)+E155*(INDEX($C$7:$J$7,1,$B$49)+E155*(INDEX($C$8:$J$8,1,$B$49)+E155*(INDEX($C$9:$J$9,1,$B$49)+E155*(INDEX($C$10:$J$10,1,$B$49)+E155*(INDEX($C$11:$J$11,1,$B$49)+E155*(INDEX($C$12:$J$12,1,$B$49)))))))</f>
        <v/>
      </c>
      <c r="G155" s="15">
        <f>INDEX($C$6:$J$6,1,$B$49+1)+E155*(INDEX($C$7:$J$7,1,$B$49+1)+E155*(INDEX($C$8:$J$8,1,$B$49+1)+E155*(INDEX($C$9:$J$9,1,$B$49+1)+E155*(INDEX($C$10:$J$10,1,$B$49+1)+E155*(INDEX($C$11:$J$11,1,$B$49+1)+E155*(INDEX($C$12:$J$12,1,$B$49+1)))))))</f>
        <v/>
      </c>
      <c r="H155" s="18">
        <f>$B$44*(F155+$B$52*(G155-F155))</f>
        <v/>
      </c>
      <c r="I155" s="19">
        <f>H155*$B$45/C155</f>
        <v/>
      </c>
      <c r="J155" s="12">
        <f>0.5*$B$40*C155^2</f>
        <v/>
      </c>
      <c r="K155" s="12">
        <f>$B$24*J155*$B$19</f>
        <v/>
      </c>
      <c r="L155" s="12">
        <f>$B$33^2/(J155*$B$19*PI()*$B$43*$B$25)</f>
        <v/>
      </c>
      <c r="M155" s="19">
        <f>K155+L155</f>
        <v/>
      </c>
      <c r="N155" s="19">
        <f>(I155-M155)*C155/$B$33*60</f>
        <v/>
      </c>
      <c r="O155" s="12">
        <f>DEGREES(ASIN(MIN(1,MAX(-1,(I155-M155)/$B$33))))</f>
        <v/>
      </c>
      <c r="P155" s="19">
        <f>M155*C155/$B$33*60</f>
        <v/>
      </c>
      <c r="Q155" s="12">
        <f>DEGREES(ASIN(MIN(1,MAX(-1,M155/$B$33))))</f>
        <v/>
      </c>
    </row>
    <row r="156">
      <c r="A156" s="36" t="n">
        <v>90.5</v>
      </c>
      <c r="B156" s="19">
        <f>A156/SQRT($B$39)</f>
        <v/>
      </c>
      <c r="C156" s="12">
        <f>B156/0.5924838</f>
        <v/>
      </c>
      <c r="D156" s="18">
        <f>C156/($B$46*$B$23)</f>
        <v/>
      </c>
      <c r="E156" s="18">
        <f>D156/$B$47^(1/3)</f>
        <v/>
      </c>
      <c r="F156" s="15">
        <f>INDEX($C$6:$J$6,1,$B$49)+E156*(INDEX($C$7:$J$7,1,$B$49)+E156*(INDEX($C$8:$J$8,1,$B$49)+E156*(INDEX($C$9:$J$9,1,$B$49)+E156*(INDEX($C$10:$J$10,1,$B$49)+E156*(INDEX($C$11:$J$11,1,$B$49)+E156*(INDEX($C$12:$J$12,1,$B$49)))))))</f>
        <v/>
      </c>
      <c r="G156" s="15">
        <f>INDEX($C$6:$J$6,1,$B$49+1)+E156*(INDEX($C$7:$J$7,1,$B$49+1)+E156*(INDEX($C$8:$J$8,1,$B$49+1)+E156*(INDEX($C$9:$J$9,1,$B$49+1)+E156*(INDEX($C$10:$J$10,1,$B$49+1)+E156*(INDEX($C$11:$J$11,1,$B$49+1)+E156*(INDEX($C$12:$J$12,1,$B$49+1)))))))</f>
        <v/>
      </c>
      <c r="H156" s="18">
        <f>$B$44*(F156+$B$52*(G156-F156))</f>
        <v/>
      </c>
      <c r="I156" s="19">
        <f>H156*$B$45/C156</f>
        <v/>
      </c>
      <c r="J156" s="12">
        <f>0.5*$B$40*C156^2</f>
        <v/>
      </c>
      <c r="K156" s="12">
        <f>$B$24*J156*$B$19</f>
        <v/>
      </c>
      <c r="L156" s="12">
        <f>$B$33^2/(J156*$B$19*PI()*$B$43*$B$25)</f>
        <v/>
      </c>
      <c r="M156" s="19">
        <f>K156+L156</f>
        <v/>
      </c>
      <c r="N156" s="19">
        <f>(I156-M156)*C156/$B$33*60</f>
        <v/>
      </c>
      <c r="O156" s="12">
        <f>DEGREES(ASIN(MIN(1,MAX(-1,(I156-M156)/$B$33))))</f>
        <v/>
      </c>
      <c r="P156" s="19">
        <f>M156*C156/$B$33*60</f>
        <v/>
      </c>
      <c r="Q156" s="12">
        <f>DEGREES(ASIN(MIN(1,MAX(-1,M156/$B$33))))</f>
        <v/>
      </c>
    </row>
    <row r="157">
      <c r="A157" s="36" t="n">
        <v>91</v>
      </c>
      <c r="B157" s="19">
        <f>A157/SQRT($B$39)</f>
        <v/>
      </c>
      <c r="C157" s="12">
        <f>B157/0.5924838</f>
        <v/>
      </c>
      <c r="D157" s="18">
        <f>C157/($B$46*$B$23)</f>
        <v/>
      </c>
      <c r="E157" s="18">
        <f>D157/$B$47^(1/3)</f>
        <v/>
      </c>
      <c r="F157" s="15">
        <f>INDEX($C$6:$J$6,1,$B$49)+E157*(INDEX($C$7:$J$7,1,$B$49)+E157*(INDEX($C$8:$J$8,1,$B$49)+E157*(INDEX($C$9:$J$9,1,$B$49)+E157*(INDEX($C$10:$J$10,1,$B$49)+E157*(INDEX($C$11:$J$11,1,$B$49)+E157*(INDEX($C$12:$J$12,1,$B$49)))))))</f>
        <v/>
      </c>
      <c r="G157" s="15">
        <f>INDEX($C$6:$J$6,1,$B$49+1)+E157*(INDEX($C$7:$J$7,1,$B$49+1)+E157*(INDEX($C$8:$J$8,1,$B$49+1)+E157*(INDEX($C$9:$J$9,1,$B$49+1)+E157*(INDEX($C$10:$J$10,1,$B$49+1)+E157*(INDEX($C$11:$J$11,1,$B$49+1)+E157*(INDEX($C$12:$J$12,1,$B$49+1)))))))</f>
        <v/>
      </c>
      <c r="H157" s="18">
        <f>$B$44*(F157+$B$52*(G157-F157))</f>
        <v/>
      </c>
      <c r="I157" s="19">
        <f>H157*$B$45/C157</f>
        <v/>
      </c>
      <c r="J157" s="12">
        <f>0.5*$B$40*C157^2</f>
        <v/>
      </c>
      <c r="K157" s="12">
        <f>$B$24*J157*$B$19</f>
        <v/>
      </c>
      <c r="L157" s="12">
        <f>$B$33^2/(J157*$B$19*PI()*$B$43*$B$25)</f>
        <v/>
      </c>
      <c r="M157" s="19">
        <f>K157+L157</f>
        <v/>
      </c>
      <c r="N157" s="19">
        <f>(I157-M157)*C157/$B$33*60</f>
        <v/>
      </c>
      <c r="O157" s="12">
        <f>DEGREES(ASIN(MIN(1,MAX(-1,(I157-M157)/$B$33))))</f>
        <v/>
      </c>
      <c r="P157" s="19">
        <f>M157*C157/$B$33*60</f>
        <v/>
      </c>
      <c r="Q157" s="12">
        <f>DEGREES(ASIN(MIN(1,MAX(-1,M157/$B$33))))</f>
        <v/>
      </c>
    </row>
    <row r="158">
      <c r="A158" s="36" t="n">
        <v>91.5</v>
      </c>
      <c r="B158" s="19">
        <f>A158/SQRT($B$39)</f>
        <v/>
      </c>
      <c r="C158" s="12">
        <f>B158/0.5924838</f>
        <v/>
      </c>
      <c r="D158" s="18">
        <f>C158/($B$46*$B$23)</f>
        <v/>
      </c>
      <c r="E158" s="18">
        <f>D158/$B$47^(1/3)</f>
        <v/>
      </c>
      <c r="F158" s="15">
        <f>INDEX($C$6:$J$6,1,$B$49)+E158*(INDEX($C$7:$J$7,1,$B$49)+E158*(INDEX($C$8:$J$8,1,$B$49)+E158*(INDEX($C$9:$J$9,1,$B$49)+E158*(INDEX($C$10:$J$10,1,$B$49)+E158*(INDEX($C$11:$J$11,1,$B$49)+E158*(INDEX($C$12:$J$12,1,$B$49)))))))</f>
        <v/>
      </c>
      <c r="G158" s="15">
        <f>INDEX($C$6:$J$6,1,$B$49+1)+E158*(INDEX($C$7:$J$7,1,$B$49+1)+E158*(INDEX($C$8:$J$8,1,$B$49+1)+E158*(INDEX($C$9:$J$9,1,$B$49+1)+E158*(INDEX($C$10:$J$10,1,$B$49+1)+E158*(INDEX($C$11:$J$11,1,$B$49+1)+E158*(INDEX($C$12:$J$12,1,$B$49+1)))))))</f>
        <v/>
      </c>
      <c r="H158" s="18">
        <f>$B$44*(F158+$B$52*(G158-F158))</f>
        <v/>
      </c>
      <c r="I158" s="19">
        <f>H158*$B$45/C158</f>
        <v/>
      </c>
      <c r="J158" s="12">
        <f>0.5*$B$40*C158^2</f>
        <v/>
      </c>
      <c r="K158" s="12">
        <f>$B$24*J158*$B$19</f>
        <v/>
      </c>
      <c r="L158" s="12">
        <f>$B$33^2/(J158*$B$19*PI()*$B$43*$B$25)</f>
        <v/>
      </c>
      <c r="M158" s="19">
        <f>K158+L158</f>
        <v/>
      </c>
      <c r="N158" s="19">
        <f>(I158-M158)*C158/$B$33*60</f>
        <v/>
      </c>
      <c r="O158" s="12">
        <f>DEGREES(ASIN(MIN(1,MAX(-1,(I158-M158)/$B$33))))</f>
        <v/>
      </c>
      <c r="P158" s="19">
        <f>M158*C158/$B$33*60</f>
        <v/>
      </c>
      <c r="Q158" s="12">
        <f>DEGREES(ASIN(MIN(1,MAX(-1,M158/$B$33))))</f>
        <v/>
      </c>
    </row>
    <row r="159">
      <c r="A159" s="36" t="n">
        <v>92</v>
      </c>
      <c r="B159" s="19">
        <f>A159/SQRT($B$39)</f>
        <v/>
      </c>
      <c r="C159" s="12">
        <f>B159/0.5924838</f>
        <v/>
      </c>
      <c r="D159" s="18">
        <f>C159/($B$46*$B$23)</f>
        <v/>
      </c>
      <c r="E159" s="18">
        <f>D159/$B$47^(1/3)</f>
        <v/>
      </c>
      <c r="F159" s="15">
        <f>INDEX($C$6:$J$6,1,$B$49)+E159*(INDEX($C$7:$J$7,1,$B$49)+E159*(INDEX($C$8:$J$8,1,$B$49)+E159*(INDEX($C$9:$J$9,1,$B$49)+E159*(INDEX($C$10:$J$10,1,$B$49)+E159*(INDEX($C$11:$J$11,1,$B$49)+E159*(INDEX($C$12:$J$12,1,$B$49)))))))</f>
        <v/>
      </c>
      <c r="G159" s="15">
        <f>INDEX($C$6:$J$6,1,$B$49+1)+E159*(INDEX($C$7:$J$7,1,$B$49+1)+E159*(INDEX($C$8:$J$8,1,$B$49+1)+E159*(INDEX($C$9:$J$9,1,$B$49+1)+E159*(INDEX($C$10:$J$10,1,$B$49+1)+E159*(INDEX($C$11:$J$11,1,$B$49+1)+E159*(INDEX($C$12:$J$12,1,$B$49+1)))))))</f>
        <v/>
      </c>
      <c r="H159" s="18">
        <f>$B$44*(F159+$B$52*(G159-F159))</f>
        <v/>
      </c>
      <c r="I159" s="19">
        <f>H159*$B$45/C159</f>
        <v/>
      </c>
      <c r="J159" s="12">
        <f>0.5*$B$40*C159^2</f>
        <v/>
      </c>
      <c r="K159" s="12">
        <f>$B$24*J159*$B$19</f>
        <v/>
      </c>
      <c r="L159" s="12">
        <f>$B$33^2/(J159*$B$19*PI()*$B$43*$B$25)</f>
        <v/>
      </c>
      <c r="M159" s="19">
        <f>K159+L159</f>
        <v/>
      </c>
      <c r="N159" s="19">
        <f>(I159-M159)*C159/$B$33*60</f>
        <v/>
      </c>
      <c r="O159" s="12">
        <f>DEGREES(ASIN(MIN(1,MAX(-1,(I159-M159)/$B$33))))</f>
        <v/>
      </c>
      <c r="P159" s="19">
        <f>M159*C159/$B$33*60</f>
        <v/>
      </c>
      <c r="Q159" s="12">
        <f>DEGREES(ASIN(MIN(1,MAX(-1,M159/$B$33))))</f>
        <v/>
      </c>
    </row>
    <row r="160">
      <c r="A160" s="36" t="n">
        <v>92.5</v>
      </c>
      <c r="B160" s="19">
        <f>A160/SQRT($B$39)</f>
        <v/>
      </c>
      <c r="C160" s="12">
        <f>B160/0.5924838</f>
        <v/>
      </c>
      <c r="D160" s="18">
        <f>C160/($B$46*$B$23)</f>
        <v/>
      </c>
      <c r="E160" s="18">
        <f>D160/$B$47^(1/3)</f>
        <v/>
      </c>
      <c r="F160" s="15">
        <f>INDEX($C$6:$J$6,1,$B$49)+E160*(INDEX($C$7:$J$7,1,$B$49)+E160*(INDEX($C$8:$J$8,1,$B$49)+E160*(INDEX($C$9:$J$9,1,$B$49)+E160*(INDEX($C$10:$J$10,1,$B$49)+E160*(INDEX($C$11:$J$11,1,$B$49)+E160*(INDEX($C$12:$J$12,1,$B$49)))))))</f>
        <v/>
      </c>
      <c r="G160" s="15">
        <f>INDEX($C$6:$J$6,1,$B$49+1)+E160*(INDEX($C$7:$J$7,1,$B$49+1)+E160*(INDEX($C$8:$J$8,1,$B$49+1)+E160*(INDEX($C$9:$J$9,1,$B$49+1)+E160*(INDEX($C$10:$J$10,1,$B$49+1)+E160*(INDEX($C$11:$J$11,1,$B$49+1)+E160*(INDEX($C$12:$J$12,1,$B$49+1)))))))</f>
        <v/>
      </c>
      <c r="H160" s="18">
        <f>$B$44*(F160+$B$52*(G160-F160))</f>
        <v/>
      </c>
      <c r="I160" s="19">
        <f>H160*$B$45/C160</f>
        <v/>
      </c>
      <c r="J160" s="12">
        <f>0.5*$B$40*C160^2</f>
        <v/>
      </c>
      <c r="K160" s="12">
        <f>$B$24*J160*$B$19</f>
        <v/>
      </c>
      <c r="L160" s="12">
        <f>$B$33^2/(J160*$B$19*PI()*$B$43*$B$25)</f>
        <v/>
      </c>
      <c r="M160" s="19">
        <f>K160+L160</f>
        <v/>
      </c>
      <c r="N160" s="19">
        <f>(I160-M160)*C160/$B$33*60</f>
        <v/>
      </c>
      <c r="O160" s="12">
        <f>DEGREES(ASIN(MIN(1,MAX(-1,(I160-M160)/$B$33))))</f>
        <v/>
      </c>
      <c r="P160" s="19">
        <f>M160*C160/$B$33*60</f>
        <v/>
      </c>
      <c r="Q160" s="12">
        <f>DEGREES(ASIN(MIN(1,MAX(-1,M160/$B$33))))</f>
        <v/>
      </c>
    </row>
    <row r="161">
      <c r="A161" s="36" t="n">
        <v>93</v>
      </c>
      <c r="B161" s="19">
        <f>A161/SQRT($B$39)</f>
        <v/>
      </c>
      <c r="C161" s="12">
        <f>B161/0.5924838</f>
        <v/>
      </c>
      <c r="D161" s="18">
        <f>C161/($B$46*$B$23)</f>
        <v/>
      </c>
      <c r="E161" s="18">
        <f>D161/$B$47^(1/3)</f>
        <v/>
      </c>
      <c r="F161" s="15">
        <f>INDEX($C$6:$J$6,1,$B$49)+E161*(INDEX($C$7:$J$7,1,$B$49)+E161*(INDEX($C$8:$J$8,1,$B$49)+E161*(INDEX($C$9:$J$9,1,$B$49)+E161*(INDEX($C$10:$J$10,1,$B$49)+E161*(INDEX($C$11:$J$11,1,$B$49)+E161*(INDEX($C$12:$J$12,1,$B$49)))))))</f>
        <v/>
      </c>
      <c r="G161" s="15">
        <f>INDEX($C$6:$J$6,1,$B$49+1)+E161*(INDEX($C$7:$J$7,1,$B$49+1)+E161*(INDEX($C$8:$J$8,1,$B$49+1)+E161*(INDEX($C$9:$J$9,1,$B$49+1)+E161*(INDEX($C$10:$J$10,1,$B$49+1)+E161*(INDEX($C$11:$J$11,1,$B$49+1)+E161*(INDEX($C$12:$J$12,1,$B$49+1)))))))</f>
        <v/>
      </c>
      <c r="H161" s="18">
        <f>$B$44*(F161+$B$52*(G161-F161))</f>
        <v/>
      </c>
      <c r="I161" s="19">
        <f>H161*$B$45/C161</f>
        <v/>
      </c>
      <c r="J161" s="12">
        <f>0.5*$B$40*C161^2</f>
        <v/>
      </c>
      <c r="K161" s="12">
        <f>$B$24*J161*$B$19</f>
        <v/>
      </c>
      <c r="L161" s="12">
        <f>$B$33^2/(J161*$B$19*PI()*$B$43*$B$25)</f>
        <v/>
      </c>
      <c r="M161" s="19">
        <f>K161+L161</f>
        <v/>
      </c>
      <c r="N161" s="19">
        <f>(I161-M161)*C161/$B$33*60</f>
        <v/>
      </c>
      <c r="O161" s="12">
        <f>DEGREES(ASIN(MIN(1,MAX(-1,(I161-M161)/$B$33))))</f>
        <v/>
      </c>
      <c r="P161" s="19">
        <f>M161*C161/$B$33*60</f>
        <v/>
      </c>
      <c r="Q161" s="12">
        <f>DEGREES(ASIN(MIN(1,MAX(-1,M161/$B$33))))</f>
        <v/>
      </c>
    </row>
    <row r="162">
      <c r="A162" s="36" t="n">
        <v>93.5</v>
      </c>
      <c r="B162" s="19">
        <f>A162/SQRT($B$39)</f>
        <v/>
      </c>
      <c r="C162" s="12">
        <f>B162/0.5924838</f>
        <v/>
      </c>
      <c r="D162" s="18">
        <f>C162/($B$46*$B$23)</f>
        <v/>
      </c>
      <c r="E162" s="18">
        <f>D162/$B$47^(1/3)</f>
        <v/>
      </c>
      <c r="F162" s="15">
        <f>INDEX($C$6:$J$6,1,$B$49)+E162*(INDEX($C$7:$J$7,1,$B$49)+E162*(INDEX($C$8:$J$8,1,$B$49)+E162*(INDEX($C$9:$J$9,1,$B$49)+E162*(INDEX($C$10:$J$10,1,$B$49)+E162*(INDEX($C$11:$J$11,1,$B$49)+E162*(INDEX($C$12:$J$12,1,$B$49)))))))</f>
        <v/>
      </c>
      <c r="G162" s="15">
        <f>INDEX($C$6:$J$6,1,$B$49+1)+E162*(INDEX($C$7:$J$7,1,$B$49+1)+E162*(INDEX($C$8:$J$8,1,$B$49+1)+E162*(INDEX($C$9:$J$9,1,$B$49+1)+E162*(INDEX($C$10:$J$10,1,$B$49+1)+E162*(INDEX($C$11:$J$11,1,$B$49+1)+E162*(INDEX($C$12:$J$12,1,$B$49+1)))))))</f>
        <v/>
      </c>
      <c r="H162" s="18">
        <f>$B$44*(F162+$B$52*(G162-F162))</f>
        <v/>
      </c>
      <c r="I162" s="19">
        <f>H162*$B$45/C162</f>
        <v/>
      </c>
      <c r="J162" s="12">
        <f>0.5*$B$40*C162^2</f>
        <v/>
      </c>
      <c r="K162" s="12">
        <f>$B$24*J162*$B$19</f>
        <v/>
      </c>
      <c r="L162" s="12">
        <f>$B$33^2/(J162*$B$19*PI()*$B$43*$B$25)</f>
        <v/>
      </c>
      <c r="M162" s="19">
        <f>K162+L162</f>
        <v/>
      </c>
      <c r="N162" s="19">
        <f>(I162-M162)*C162/$B$33*60</f>
        <v/>
      </c>
      <c r="O162" s="12">
        <f>DEGREES(ASIN(MIN(1,MAX(-1,(I162-M162)/$B$33))))</f>
        <v/>
      </c>
      <c r="P162" s="19">
        <f>M162*C162/$B$33*60</f>
        <v/>
      </c>
      <c r="Q162" s="12">
        <f>DEGREES(ASIN(MIN(1,MAX(-1,M162/$B$33))))</f>
        <v/>
      </c>
    </row>
    <row r="163">
      <c r="A163" s="36" t="n">
        <v>94</v>
      </c>
      <c r="B163" s="19">
        <f>A163/SQRT($B$39)</f>
        <v/>
      </c>
      <c r="C163" s="12">
        <f>B163/0.5924838</f>
        <v/>
      </c>
      <c r="D163" s="18">
        <f>C163/($B$46*$B$23)</f>
        <v/>
      </c>
      <c r="E163" s="18">
        <f>D163/$B$47^(1/3)</f>
        <v/>
      </c>
      <c r="F163" s="15">
        <f>INDEX($C$6:$J$6,1,$B$49)+E163*(INDEX($C$7:$J$7,1,$B$49)+E163*(INDEX($C$8:$J$8,1,$B$49)+E163*(INDEX($C$9:$J$9,1,$B$49)+E163*(INDEX($C$10:$J$10,1,$B$49)+E163*(INDEX($C$11:$J$11,1,$B$49)+E163*(INDEX($C$12:$J$12,1,$B$49)))))))</f>
        <v/>
      </c>
      <c r="G163" s="15">
        <f>INDEX($C$6:$J$6,1,$B$49+1)+E163*(INDEX($C$7:$J$7,1,$B$49+1)+E163*(INDEX($C$8:$J$8,1,$B$49+1)+E163*(INDEX($C$9:$J$9,1,$B$49+1)+E163*(INDEX($C$10:$J$10,1,$B$49+1)+E163*(INDEX($C$11:$J$11,1,$B$49+1)+E163*(INDEX($C$12:$J$12,1,$B$49+1)))))))</f>
        <v/>
      </c>
      <c r="H163" s="18">
        <f>$B$44*(F163+$B$52*(G163-F163))</f>
        <v/>
      </c>
      <c r="I163" s="19">
        <f>H163*$B$45/C163</f>
        <v/>
      </c>
      <c r="J163" s="12">
        <f>0.5*$B$40*C163^2</f>
        <v/>
      </c>
      <c r="K163" s="12">
        <f>$B$24*J163*$B$19</f>
        <v/>
      </c>
      <c r="L163" s="12">
        <f>$B$33^2/(J163*$B$19*PI()*$B$43*$B$25)</f>
        <v/>
      </c>
      <c r="M163" s="19">
        <f>K163+L163</f>
        <v/>
      </c>
      <c r="N163" s="19">
        <f>(I163-M163)*C163/$B$33*60</f>
        <v/>
      </c>
      <c r="O163" s="12">
        <f>DEGREES(ASIN(MIN(1,MAX(-1,(I163-M163)/$B$33))))</f>
        <v/>
      </c>
      <c r="P163" s="19">
        <f>M163*C163/$B$33*60</f>
        <v/>
      </c>
      <c r="Q163" s="12">
        <f>DEGREES(ASIN(MIN(1,MAX(-1,M163/$B$33))))</f>
        <v/>
      </c>
    </row>
    <row r="164">
      <c r="A164" s="36" t="n">
        <v>94.5</v>
      </c>
      <c r="B164" s="19">
        <f>A164/SQRT($B$39)</f>
        <v/>
      </c>
      <c r="C164" s="12">
        <f>B164/0.5924838</f>
        <v/>
      </c>
      <c r="D164" s="18">
        <f>C164/($B$46*$B$23)</f>
        <v/>
      </c>
      <c r="E164" s="18">
        <f>D164/$B$47^(1/3)</f>
        <v/>
      </c>
      <c r="F164" s="15">
        <f>INDEX($C$6:$J$6,1,$B$49)+E164*(INDEX($C$7:$J$7,1,$B$49)+E164*(INDEX($C$8:$J$8,1,$B$49)+E164*(INDEX($C$9:$J$9,1,$B$49)+E164*(INDEX($C$10:$J$10,1,$B$49)+E164*(INDEX($C$11:$J$11,1,$B$49)+E164*(INDEX($C$12:$J$12,1,$B$49)))))))</f>
        <v/>
      </c>
      <c r="G164" s="15">
        <f>INDEX($C$6:$J$6,1,$B$49+1)+E164*(INDEX($C$7:$J$7,1,$B$49+1)+E164*(INDEX($C$8:$J$8,1,$B$49+1)+E164*(INDEX($C$9:$J$9,1,$B$49+1)+E164*(INDEX($C$10:$J$10,1,$B$49+1)+E164*(INDEX($C$11:$J$11,1,$B$49+1)+E164*(INDEX($C$12:$J$12,1,$B$49+1)))))))</f>
        <v/>
      </c>
      <c r="H164" s="18">
        <f>$B$44*(F164+$B$52*(G164-F164))</f>
        <v/>
      </c>
      <c r="I164" s="19">
        <f>H164*$B$45/C164</f>
        <v/>
      </c>
      <c r="J164" s="12">
        <f>0.5*$B$40*C164^2</f>
        <v/>
      </c>
      <c r="K164" s="12">
        <f>$B$24*J164*$B$19</f>
        <v/>
      </c>
      <c r="L164" s="12">
        <f>$B$33^2/(J164*$B$19*PI()*$B$43*$B$25)</f>
        <v/>
      </c>
      <c r="M164" s="19">
        <f>K164+L164</f>
        <v/>
      </c>
      <c r="N164" s="19">
        <f>(I164-M164)*C164/$B$33*60</f>
        <v/>
      </c>
      <c r="O164" s="12">
        <f>DEGREES(ASIN(MIN(1,MAX(-1,(I164-M164)/$B$33))))</f>
        <v/>
      </c>
      <c r="P164" s="19">
        <f>M164*C164/$B$33*60</f>
        <v/>
      </c>
      <c r="Q164" s="12">
        <f>DEGREES(ASIN(MIN(1,MAX(-1,M164/$B$33))))</f>
        <v/>
      </c>
    </row>
    <row r="165">
      <c r="A165" s="36" t="n">
        <v>95</v>
      </c>
      <c r="B165" s="19">
        <f>A165/SQRT($B$39)</f>
        <v/>
      </c>
      <c r="C165" s="12">
        <f>B165/0.5924838</f>
        <v/>
      </c>
      <c r="D165" s="18">
        <f>C165/($B$46*$B$23)</f>
        <v/>
      </c>
      <c r="E165" s="18">
        <f>D165/$B$47^(1/3)</f>
        <v/>
      </c>
      <c r="F165" s="15">
        <f>INDEX($C$6:$J$6,1,$B$49)+E165*(INDEX($C$7:$J$7,1,$B$49)+E165*(INDEX($C$8:$J$8,1,$B$49)+E165*(INDEX($C$9:$J$9,1,$B$49)+E165*(INDEX($C$10:$J$10,1,$B$49)+E165*(INDEX($C$11:$J$11,1,$B$49)+E165*(INDEX($C$12:$J$12,1,$B$49)))))))</f>
        <v/>
      </c>
      <c r="G165" s="15">
        <f>INDEX($C$6:$J$6,1,$B$49+1)+E165*(INDEX($C$7:$J$7,1,$B$49+1)+E165*(INDEX($C$8:$J$8,1,$B$49+1)+E165*(INDEX($C$9:$J$9,1,$B$49+1)+E165*(INDEX($C$10:$J$10,1,$B$49+1)+E165*(INDEX($C$11:$J$11,1,$B$49+1)+E165*(INDEX($C$12:$J$12,1,$B$49+1)))))))</f>
        <v/>
      </c>
      <c r="H165" s="18">
        <f>$B$44*(F165+$B$52*(G165-F165))</f>
        <v/>
      </c>
      <c r="I165" s="19">
        <f>H165*$B$45/C165</f>
        <v/>
      </c>
      <c r="J165" s="12">
        <f>0.5*$B$40*C165^2</f>
        <v/>
      </c>
      <c r="K165" s="12">
        <f>$B$24*J165*$B$19</f>
        <v/>
      </c>
      <c r="L165" s="12">
        <f>$B$33^2/(J165*$B$19*PI()*$B$43*$B$25)</f>
        <v/>
      </c>
      <c r="M165" s="19">
        <f>K165+L165</f>
        <v/>
      </c>
      <c r="N165" s="19">
        <f>(I165-M165)*C165/$B$33*60</f>
        <v/>
      </c>
      <c r="O165" s="12">
        <f>DEGREES(ASIN(MIN(1,MAX(-1,(I165-M165)/$B$33))))</f>
        <v/>
      </c>
      <c r="P165" s="19">
        <f>M165*C165/$B$33*60</f>
        <v/>
      </c>
      <c r="Q165" s="12">
        <f>DEGREES(ASIN(MIN(1,MAX(-1,M165/$B$33))))</f>
        <v/>
      </c>
    </row>
    <row r="166">
      <c r="A166" s="36" t="n">
        <v>95.5</v>
      </c>
      <c r="B166" s="19">
        <f>A166/SQRT($B$39)</f>
        <v/>
      </c>
      <c r="C166" s="12">
        <f>B166/0.5924838</f>
        <v/>
      </c>
      <c r="D166" s="18">
        <f>C166/($B$46*$B$23)</f>
        <v/>
      </c>
      <c r="E166" s="18">
        <f>D166/$B$47^(1/3)</f>
        <v/>
      </c>
      <c r="F166" s="15">
        <f>INDEX($C$6:$J$6,1,$B$49)+E166*(INDEX($C$7:$J$7,1,$B$49)+E166*(INDEX($C$8:$J$8,1,$B$49)+E166*(INDEX($C$9:$J$9,1,$B$49)+E166*(INDEX($C$10:$J$10,1,$B$49)+E166*(INDEX($C$11:$J$11,1,$B$49)+E166*(INDEX($C$12:$J$12,1,$B$49)))))))</f>
        <v/>
      </c>
      <c r="G166" s="15">
        <f>INDEX($C$6:$J$6,1,$B$49+1)+E166*(INDEX($C$7:$J$7,1,$B$49+1)+E166*(INDEX($C$8:$J$8,1,$B$49+1)+E166*(INDEX($C$9:$J$9,1,$B$49+1)+E166*(INDEX($C$10:$J$10,1,$B$49+1)+E166*(INDEX($C$11:$J$11,1,$B$49+1)+E166*(INDEX($C$12:$J$12,1,$B$49+1)))))))</f>
        <v/>
      </c>
      <c r="H166" s="18">
        <f>$B$44*(F166+$B$52*(G166-F166))</f>
        <v/>
      </c>
      <c r="I166" s="19">
        <f>H166*$B$45/C166</f>
        <v/>
      </c>
      <c r="J166" s="12">
        <f>0.5*$B$40*C166^2</f>
        <v/>
      </c>
      <c r="K166" s="12">
        <f>$B$24*J166*$B$19</f>
        <v/>
      </c>
      <c r="L166" s="12">
        <f>$B$33^2/(J166*$B$19*PI()*$B$43*$B$25)</f>
        <v/>
      </c>
      <c r="M166" s="19">
        <f>K166+L166</f>
        <v/>
      </c>
      <c r="N166" s="19">
        <f>(I166-M166)*C166/$B$33*60</f>
        <v/>
      </c>
      <c r="O166" s="12">
        <f>DEGREES(ASIN(MIN(1,MAX(-1,(I166-M166)/$B$33))))</f>
        <v/>
      </c>
      <c r="P166" s="19">
        <f>M166*C166/$B$33*60</f>
        <v/>
      </c>
      <c r="Q166" s="12">
        <f>DEGREES(ASIN(MIN(1,MAX(-1,M166/$B$33))))</f>
        <v/>
      </c>
    </row>
    <row r="167">
      <c r="A167" s="36" t="n">
        <v>96</v>
      </c>
      <c r="B167" s="19">
        <f>A167/SQRT($B$39)</f>
        <v/>
      </c>
      <c r="C167" s="12">
        <f>B167/0.5924838</f>
        <v/>
      </c>
      <c r="D167" s="18">
        <f>C167/($B$46*$B$23)</f>
        <v/>
      </c>
      <c r="E167" s="18">
        <f>D167/$B$47^(1/3)</f>
        <v/>
      </c>
      <c r="F167" s="15">
        <f>INDEX($C$6:$J$6,1,$B$49)+E167*(INDEX($C$7:$J$7,1,$B$49)+E167*(INDEX($C$8:$J$8,1,$B$49)+E167*(INDEX($C$9:$J$9,1,$B$49)+E167*(INDEX($C$10:$J$10,1,$B$49)+E167*(INDEX($C$11:$J$11,1,$B$49)+E167*(INDEX($C$12:$J$12,1,$B$49)))))))</f>
        <v/>
      </c>
      <c r="G167" s="15">
        <f>INDEX($C$6:$J$6,1,$B$49+1)+E167*(INDEX($C$7:$J$7,1,$B$49+1)+E167*(INDEX($C$8:$J$8,1,$B$49+1)+E167*(INDEX($C$9:$J$9,1,$B$49+1)+E167*(INDEX($C$10:$J$10,1,$B$49+1)+E167*(INDEX($C$11:$J$11,1,$B$49+1)+E167*(INDEX($C$12:$J$12,1,$B$49+1)))))))</f>
        <v/>
      </c>
      <c r="H167" s="18">
        <f>$B$44*(F167+$B$52*(G167-F167))</f>
        <v/>
      </c>
      <c r="I167" s="19">
        <f>H167*$B$45/C167</f>
        <v/>
      </c>
      <c r="J167" s="12">
        <f>0.5*$B$40*C167^2</f>
        <v/>
      </c>
      <c r="K167" s="12">
        <f>$B$24*J167*$B$19</f>
        <v/>
      </c>
      <c r="L167" s="12">
        <f>$B$33^2/(J167*$B$19*PI()*$B$43*$B$25)</f>
        <v/>
      </c>
      <c r="M167" s="19">
        <f>K167+L167</f>
        <v/>
      </c>
      <c r="N167" s="19">
        <f>(I167-M167)*C167/$B$33*60</f>
        <v/>
      </c>
      <c r="O167" s="12">
        <f>DEGREES(ASIN(MIN(1,MAX(-1,(I167-M167)/$B$33))))</f>
        <v/>
      </c>
      <c r="P167" s="19">
        <f>M167*C167/$B$33*60</f>
        <v/>
      </c>
      <c r="Q167" s="12">
        <f>DEGREES(ASIN(MIN(1,MAX(-1,M167/$B$33))))</f>
        <v/>
      </c>
    </row>
    <row r="168">
      <c r="A168" s="36" t="n">
        <v>96.5</v>
      </c>
      <c r="B168" s="19">
        <f>A168/SQRT($B$39)</f>
        <v/>
      </c>
      <c r="C168" s="12">
        <f>B168/0.5924838</f>
        <v/>
      </c>
      <c r="D168" s="18">
        <f>C168/($B$46*$B$23)</f>
        <v/>
      </c>
      <c r="E168" s="18">
        <f>D168/$B$47^(1/3)</f>
        <v/>
      </c>
      <c r="F168" s="15">
        <f>INDEX($C$6:$J$6,1,$B$49)+E168*(INDEX($C$7:$J$7,1,$B$49)+E168*(INDEX($C$8:$J$8,1,$B$49)+E168*(INDEX($C$9:$J$9,1,$B$49)+E168*(INDEX($C$10:$J$10,1,$B$49)+E168*(INDEX($C$11:$J$11,1,$B$49)+E168*(INDEX($C$12:$J$12,1,$B$49)))))))</f>
        <v/>
      </c>
      <c r="G168" s="15">
        <f>INDEX($C$6:$J$6,1,$B$49+1)+E168*(INDEX($C$7:$J$7,1,$B$49+1)+E168*(INDEX($C$8:$J$8,1,$B$49+1)+E168*(INDEX($C$9:$J$9,1,$B$49+1)+E168*(INDEX($C$10:$J$10,1,$B$49+1)+E168*(INDEX($C$11:$J$11,1,$B$49+1)+E168*(INDEX($C$12:$J$12,1,$B$49+1)))))))</f>
        <v/>
      </c>
      <c r="H168" s="18">
        <f>$B$44*(F168+$B$52*(G168-F168))</f>
        <v/>
      </c>
      <c r="I168" s="19">
        <f>H168*$B$45/C168</f>
        <v/>
      </c>
      <c r="J168" s="12">
        <f>0.5*$B$40*C168^2</f>
        <v/>
      </c>
      <c r="K168" s="12">
        <f>$B$24*J168*$B$19</f>
        <v/>
      </c>
      <c r="L168" s="12">
        <f>$B$33^2/(J168*$B$19*PI()*$B$43*$B$25)</f>
        <v/>
      </c>
      <c r="M168" s="19">
        <f>K168+L168</f>
        <v/>
      </c>
      <c r="N168" s="19">
        <f>(I168-M168)*C168/$B$33*60</f>
        <v/>
      </c>
      <c r="O168" s="12">
        <f>DEGREES(ASIN(MIN(1,MAX(-1,(I168-M168)/$B$33))))</f>
        <v/>
      </c>
      <c r="P168" s="19">
        <f>M168*C168/$B$33*60</f>
        <v/>
      </c>
      <c r="Q168" s="12">
        <f>DEGREES(ASIN(MIN(1,MAX(-1,M168/$B$33))))</f>
        <v/>
      </c>
    </row>
    <row r="169">
      <c r="A169" s="36" t="n">
        <v>97</v>
      </c>
      <c r="B169" s="19">
        <f>A169/SQRT($B$39)</f>
        <v/>
      </c>
      <c r="C169" s="12">
        <f>B169/0.5924838</f>
        <v/>
      </c>
      <c r="D169" s="18">
        <f>C169/($B$46*$B$23)</f>
        <v/>
      </c>
      <c r="E169" s="18">
        <f>D169/$B$47^(1/3)</f>
        <v/>
      </c>
      <c r="F169" s="15">
        <f>INDEX($C$6:$J$6,1,$B$49)+E169*(INDEX($C$7:$J$7,1,$B$49)+E169*(INDEX($C$8:$J$8,1,$B$49)+E169*(INDEX($C$9:$J$9,1,$B$49)+E169*(INDEX($C$10:$J$10,1,$B$49)+E169*(INDEX($C$11:$J$11,1,$B$49)+E169*(INDEX($C$12:$J$12,1,$B$49)))))))</f>
        <v/>
      </c>
      <c r="G169" s="15">
        <f>INDEX($C$6:$J$6,1,$B$49+1)+E169*(INDEX($C$7:$J$7,1,$B$49+1)+E169*(INDEX($C$8:$J$8,1,$B$49+1)+E169*(INDEX($C$9:$J$9,1,$B$49+1)+E169*(INDEX($C$10:$J$10,1,$B$49+1)+E169*(INDEX($C$11:$J$11,1,$B$49+1)+E169*(INDEX($C$12:$J$12,1,$B$49+1)))))))</f>
        <v/>
      </c>
      <c r="H169" s="18">
        <f>$B$44*(F169+$B$52*(G169-F169))</f>
        <v/>
      </c>
      <c r="I169" s="19">
        <f>H169*$B$45/C169</f>
        <v/>
      </c>
      <c r="J169" s="12">
        <f>0.5*$B$40*C169^2</f>
        <v/>
      </c>
      <c r="K169" s="12">
        <f>$B$24*J169*$B$19</f>
        <v/>
      </c>
      <c r="L169" s="12">
        <f>$B$33^2/(J169*$B$19*PI()*$B$43*$B$25)</f>
        <v/>
      </c>
      <c r="M169" s="19">
        <f>K169+L169</f>
        <v/>
      </c>
      <c r="N169" s="19">
        <f>(I169-M169)*C169/$B$33*60</f>
        <v/>
      </c>
      <c r="O169" s="12">
        <f>DEGREES(ASIN(MIN(1,MAX(-1,(I169-M169)/$B$33))))</f>
        <v/>
      </c>
      <c r="P169" s="19">
        <f>M169*C169/$B$33*60</f>
        <v/>
      </c>
      <c r="Q169" s="12">
        <f>DEGREES(ASIN(MIN(1,MAX(-1,M169/$B$33))))</f>
        <v/>
      </c>
    </row>
    <row r="170">
      <c r="A170" s="36" t="n">
        <v>97.5</v>
      </c>
      <c r="B170" s="19">
        <f>A170/SQRT($B$39)</f>
        <v/>
      </c>
      <c r="C170" s="12">
        <f>B170/0.5924838</f>
        <v/>
      </c>
      <c r="D170" s="18">
        <f>C170/($B$46*$B$23)</f>
        <v/>
      </c>
      <c r="E170" s="18">
        <f>D170/$B$47^(1/3)</f>
        <v/>
      </c>
      <c r="F170" s="15">
        <f>INDEX($C$6:$J$6,1,$B$49)+E170*(INDEX($C$7:$J$7,1,$B$49)+E170*(INDEX($C$8:$J$8,1,$B$49)+E170*(INDEX($C$9:$J$9,1,$B$49)+E170*(INDEX($C$10:$J$10,1,$B$49)+E170*(INDEX($C$11:$J$11,1,$B$49)+E170*(INDEX($C$12:$J$12,1,$B$49)))))))</f>
        <v/>
      </c>
      <c r="G170" s="15">
        <f>INDEX($C$6:$J$6,1,$B$49+1)+E170*(INDEX($C$7:$J$7,1,$B$49+1)+E170*(INDEX($C$8:$J$8,1,$B$49+1)+E170*(INDEX($C$9:$J$9,1,$B$49+1)+E170*(INDEX($C$10:$J$10,1,$B$49+1)+E170*(INDEX($C$11:$J$11,1,$B$49+1)+E170*(INDEX($C$12:$J$12,1,$B$49+1)))))))</f>
        <v/>
      </c>
      <c r="H170" s="18">
        <f>$B$44*(F170+$B$52*(G170-F170))</f>
        <v/>
      </c>
      <c r="I170" s="19">
        <f>H170*$B$45/C170</f>
        <v/>
      </c>
      <c r="J170" s="12">
        <f>0.5*$B$40*C170^2</f>
        <v/>
      </c>
      <c r="K170" s="12">
        <f>$B$24*J170*$B$19</f>
        <v/>
      </c>
      <c r="L170" s="12">
        <f>$B$33^2/(J170*$B$19*PI()*$B$43*$B$25)</f>
        <v/>
      </c>
      <c r="M170" s="19">
        <f>K170+L170</f>
        <v/>
      </c>
      <c r="N170" s="19">
        <f>(I170-M170)*C170/$B$33*60</f>
        <v/>
      </c>
      <c r="O170" s="12">
        <f>DEGREES(ASIN(MIN(1,MAX(-1,(I170-M170)/$B$33))))</f>
        <v/>
      </c>
      <c r="P170" s="19">
        <f>M170*C170/$B$33*60</f>
        <v/>
      </c>
      <c r="Q170" s="12">
        <f>DEGREES(ASIN(MIN(1,MAX(-1,M170/$B$33))))</f>
        <v/>
      </c>
    </row>
    <row r="171">
      <c r="A171" s="36" t="n">
        <v>98</v>
      </c>
      <c r="B171" s="19">
        <f>A171/SQRT($B$39)</f>
        <v/>
      </c>
      <c r="C171" s="12">
        <f>B171/0.5924838</f>
        <v/>
      </c>
      <c r="D171" s="18">
        <f>C171/($B$46*$B$23)</f>
        <v/>
      </c>
      <c r="E171" s="18">
        <f>D171/$B$47^(1/3)</f>
        <v/>
      </c>
      <c r="F171" s="15">
        <f>INDEX($C$6:$J$6,1,$B$49)+E171*(INDEX($C$7:$J$7,1,$B$49)+E171*(INDEX($C$8:$J$8,1,$B$49)+E171*(INDEX($C$9:$J$9,1,$B$49)+E171*(INDEX($C$10:$J$10,1,$B$49)+E171*(INDEX($C$11:$J$11,1,$B$49)+E171*(INDEX($C$12:$J$12,1,$B$49)))))))</f>
        <v/>
      </c>
      <c r="G171" s="15">
        <f>INDEX($C$6:$J$6,1,$B$49+1)+E171*(INDEX($C$7:$J$7,1,$B$49+1)+E171*(INDEX($C$8:$J$8,1,$B$49+1)+E171*(INDEX($C$9:$J$9,1,$B$49+1)+E171*(INDEX($C$10:$J$10,1,$B$49+1)+E171*(INDEX($C$11:$J$11,1,$B$49+1)+E171*(INDEX($C$12:$J$12,1,$B$49+1)))))))</f>
        <v/>
      </c>
      <c r="H171" s="18">
        <f>$B$44*(F171+$B$52*(G171-F171))</f>
        <v/>
      </c>
      <c r="I171" s="19">
        <f>H171*$B$45/C171</f>
        <v/>
      </c>
      <c r="J171" s="12">
        <f>0.5*$B$40*C171^2</f>
        <v/>
      </c>
      <c r="K171" s="12">
        <f>$B$24*J171*$B$19</f>
        <v/>
      </c>
      <c r="L171" s="12">
        <f>$B$33^2/(J171*$B$19*PI()*$B$43*$B$25)</f>
        <v/>
      </c>
      <c r="M171" s="19">
        <f>K171+L171</f>
        <v/>
      </c>
      <c r="N171" s="19">
        <f>(I171-M171)*C171/$B$33*60</f>
        <v/>
      </c>
      <c r="O171" s="12">
        <f>DEGREES(ASIN(MIN(1,MAX(-1,(I171-M171)/$B$33))))</f>
        <v/>
      </c>
      <c r="P171" s="19">
        <f>M171*C171/$B$33*60</f>
        <v/>
      </c>
      <c r="Q171" s="12">
        <f>DEGREES(ASIN(MIN(1,MAX(-1,M171/$B$33))))</f>
        <v/>
      </c>
    </row>
    <row r="172">
      <c r="A172" s="36" t="n">
        <v>98.5</v>
      </c>
      <c r="B172" s="19">
        <f>A172/SQRT($B$39)</f>
        <v/>
      </c>
      <c r="C172" s="12">
        <f>B172/0.5924838</f>
        <v/>
      </c>
      <c r="D172" s="18">
        <f>C172/($B$46*$B$23)</f>
        <v/>
      </c>
      <c r="E172" s="18">
        <f>D172/$B$47^(1/3)</f>
        <v/>
      </c>
      <c r="F172" s="15">
        <f>INDEX($C$6:$J$6,1,$B$49)+E172*(INDEX($C$7:$J$7,1,$B$49)+E172*(INDEX($C$8:$J$8,1,$B$49)+E172*(INDEX($C$9:$J$9,1,$B$49)+E172*(INDEX($C$10:$J$10,1,$B$49)+E172*(INDEX($C$11:$J$11,1,$B$49)+E172*(INDEX($C$12:$J$12,1,$B$49)))))))</f>
        <v/>
      </c>
      <c r="G172" s="15">
        <f>INDEX($C$6:$J$6,1,$B$49+1)+E172*(INDEX($C$7:$J$7,1,$B$49+1)+E172*(INDEX($C$8:$J$8,1,$B$49+1)+E172*(INDEX($C$9:$J$9,1,$B$49+1)+E172*(INDEX($C$10:$J$10,1,$B$49+1)+E172*(INDEX($C$11:$J$11,1,$B$49+1)+E172*(INDEX($C$12:$J$12,1,$B$49+1)))))))</f>
        <v/>
      </c>
      <c r="H172" s="18">
        <f>$B$44*(F172+$B$52*(G172-F172))</f>
        <v/>
      </c>
      <c r="I172" s="19">
        <f>H172*$B$45/C172</f>
        <v/>
      </c>
      <c r="J172" s="12">
        <f>0.5*$B$40*C172^2</f>
        <v/>
      </c>
      <c r="K172" s="12">
        <f>$B$24*J172*$B$19</f>
        <v/>
      </c>
      <c r="L172" s="12">
        <f>$B$33^2/(J172*$B$19*PI()*$B$43*$B$25)</f>
        <v/>
      </c>
      <c r="M172" s="19">
        <f>K172+L172</f>
        <v/>
      </c>
      <c r="N172" s="19">
        <f>(I172-M172)*C172/$B$33*60</f>
        <v/>
      </c>
      <c r="O172" s="12">
        <f>DEGREES(ASIN(MIN(1,MAX(-1,(I172-M172)/$B$33))))</f>
        <v/>
      </c>
      <c r="P172" s="19">
        <f>M172*C172/$B$33*60</f>
        <v/>
      </c>
      <c r="Q172" s="12">
        <f>DEGREES(ASIN(MIN(1,MAX(-1,M172/$B$33))))</f>
        <v/>
      </c>
    </row>
    <row r="173">
      <c r="A173" s="36" t="n">
        <v>99</v>
      </c>
      <c r="B173" s="19">
        <f>A173/SQRT($B$39)</f>
        <v/>
      </c>
      <c r="C173" s="12">
        <f>B173/0.5924838</f>
        <v/>
      </c>
      <c r="D173" s="18">
        <f>C173/($B$46*$B$23)</f>
        <v/>
      </c>
      <c r="E173" s="18">
        <f>D173/$B$47^(1/3)</f>
        <v/>
      </c>
      <c r="F173" s="15">
        <f>INDEX($C$6:$J$6,1,$B$49)+E173*(INDEX($C$7:$J$7,1,$B$49)+E173*(INDEX($C$8:$J$8,1,$B$49)+E173*(INDEX($C$9:$J$9,1,$B$49)+E173*(INDEX($C$10:$J$10,1,$B$49)+E173*(INDEX($C$11:$J$11,1,$B$49)+E173*(INDEX($C$12:$J$12,1,$B$49)))))))</f>
        <v/>
      </c>
      <c r="G173" s="15">
        <f>INDEX($C$6:$J$6,1,$B$49+1)+E173*(INDEX($C$7:$J$7,1,$B$49+1)+E173*(INDEX($C$8:$J$8,1,$B$49+1)+E173*(INDEX($C$9:$J$9,1,$B$49+1)+E173*(INDEX($C$10:$J$10,1,$B$49+1)+E173*(INDEX($C$11:$J$11,1,$B$49+1)+E173*(INDEX($C$12:$J$12,1,$B$49+1)))))))</f>
        <v/>
      </c>
      <c r="H173" s="18">
        <f>$B$44*(F173+$B$52*(G173-F173))</f>
        <v/>
      </c>
      <c r="I173" s="19">
        <f>H173*$B$45/C173</f>
        <v/>
      </c>
      <c r="J173" s="12">
        <f>0.5*$B$40*C173^2</f>
        <v/>
      </c>
      <c r="K173" s="12">
        <f>$B$24*J173*$B$19</f>
        <v/>
      </c>
      <c r="L173" s="12">
        <f>$B$33^2/(J173*$B$19*PI()*$B$43*$B$25)</f>
        <v/>
      </c>
      <c r="M173" s="19">
        <f>K173+L173</f>
        <v/>
      </c>
      <c r="N173" s="19">
        <f>(I173-M173)*C173/$B$33*60</f>
        <v/>
      </c>
      <c r="O173" s="12">
        <f>DEGREES(ASIN(MIN(1,MAX(-1,(I173-M173)/$B$33))))</f>
        <v/>
      </c>
      <c r="P173" s="19">
        <f>M173*C173/$B$33*60</f>
        <v/>
      </c>
      <c r="Q173" s="12">
        <f>DEGREES(ASIN(MIN(1,MAX(-1,M173/$B$33))))</f>
        <v/>
      </c>
    </row>
    <row r="174">
      <c r="A174" s="36" t="n">
        <v>99.5</v>
      </c>
      <c r="B174" s="19">
        <f>A174/SQRT($B$39)</f>
        <v/>
      </c>
      <c r="C174" s="12">
        <f>B174/0.5924838</f>
        <v/>
      </c>
      <c r="D174" s="18">
        <f>C174/($B$46*$B$23)</f>
        <v/>
      </c>
      <c r="E174" s="18">
        <f>D174/$B$47^(1/3)</f>
        <v/>
      </c>
      <c r="F174" s="15">
        <f>INDEX($C$6:$J$6,1,$B$49)+E174*(INDEX($C$7:$J$7,1,$B$49)+E174*(INDEX($C$8:$J$8,1,$B$49)+E174*(INDEX($C$9:$J$9,1,$B$49)+E174*(INDEX($C$10:$J$10,1,$B$49)+E174*(INDEX($C$11:$J$11,1,$B$49)+E174*(INDEX($C$12:$J$12,1,$B$49)))))))</f>
        <v/>
      </c>
      <c r="G174" s="15">
        <f>INDEX($C$6:$J$6,1,$B$49+1)+E174*(INDEX($C$7:$J$7,1,$B$49+1)+E174*(INDEX($C$8:$J$8,1,$B$49+1)+E174*(INDEX($C$9:$J$9,1,$B$49+1)+E174*(INDEX($C$10:$J$10,1,$B$49+1)+E174*(INDEX($C$11:$J$11,1,$B$49+1)+E174*(INDEX($C$12:$J$12,1,$B$49+1)))))))</f>
        <v/>
      </c>
      <c r="H174" s="18">
        <f>$B$44*(F174+$B$52*(G174-F174))</f>
        <v/>
      </c>
      <c r="I174" s="19">
        <f>H174*$B$45/C174</f>
        <v/>
      </c>
      <c r="J174" s="12">
        <f>0.5*$B$40*C174^2</f>
        <v/>
      </c>
      <c r="K174" s="12">
        <f>$B$24*J174*$B$19</f>
        <v/>
      </c>
      <c r="L174" s="12">
        <f>$B$33^2/(J174*$B$19*PI()*$B$43*$B$25)</f>
        <v/>
      </c>
      <c r="M174" s="19">
        <f>K174+L174</f>
        <v/>
      </c>
      <c r="N174" s="19">
        <f>(I174-M174)*C174/$B$33*60</f>
        <v/>
      </c>
      <c r="O174" s="12">
        <f>DEGREES(ASIN(MIN(1,MAX(-1,(I174-M174)/$B$33))))</f>
        <v/>
      </c>
      <c r="P174" s="19">
        <f>M174*C174/$B$33*60</f>
        <v/>
      </c>
      <c r="Q174" s="12">
        <f>DEGREES(ASIN(MIN(1,MAX(-1,M174/$B$33))))</f>
        <v/>
      </c>
    </row>
    <row r="175">
      <c r="A175" s="36" t="n">
        <v>100</v>
      </c>
      <c r="B175" s="19">
        <f>A175/SQRT($B$39)</f>
        <v/>
      </c>
      <c r="C175" s="12">
        <f>B175/0.5924838</f>
        <v/>
      </c>
      <c r="D175" s="18">
        <f>C175/($B$46*$B$23)</f>
        <v/>
      </c>
      <c r="E175" s="18">
        <f>D175/$B$47^(1/3)</f>
        <v/>
      </c>
      <c r="F175" s="15">
        <f>INDEX($C$6:$J$6,1,$B$49)+E175*(INDEX($C$7:$J$7,1,$B$49)+E175*(INDEX($C$8:$J$8,1,$B$49)+E175*(INDEX($C$9:$J$9,1,$B$49)+E175*(INDEX($C$10:$J$10,1,$B$49)+E175*(INDEX($C$11:$J$11,1,$B$49)+E175*(INDEX($C$12:$J$12,1,$B$49)))))))</f>
        <v/>
      </c>
      <c r="G175" s="15">
        <f>INDEX($C$6:$J$6,1,$B$49+1)+E175*(INDEX($C$7:$J$7,1,$B$49+1)+E175*(INDEX($C$8:$J$8,1,$B$49+1)+E175*(INDEX($C$9:$J$9,1,$B$49+1)+E175*(INDEX($C$10:$J$10,1,$B$49+1)+E175*(INDEX($C$11:$J$11,1,$B$49+1)+E175*(INDEX($C$12:$J$12,1,$B$49+1)))))))</f>
        <v/>
      </c>
      <c r="H175" s="18">
        <f>$B$44*(F175+$B$52*(G175-F175))</f>
        <v/>
      </c>
      <c r="I175" s="19">
        <f>H175*$B$45/C175</f>
        <v/>
      </c>
      <c r="J175" s="12">
        <f>0.5*$B$40*C175^2</f>
        <v/>
      </c>
      <c r="K175" s="12">
        <f>$B$24*J175*$B$19</f>
        <v/>
      </c>
      <c r="L175" s="12">
        <f>$B$33^2/(J175*$B$19*PI()*$B$43*$B$25)</f>
        <v/>
      </c>
      <c r="M175" s="19">
        <f>K175+L175</f>
        <v/>
      </c>
      <c r="N175" s="19">
        <f>(I175-M175)*C175/$B$33*60</f>
        <v/>
      </c>
      <c r="O175" s="12">
        <f>DEGREES(ASIN(MIN(1,MAX(-1,(I175-M175)/$B$33))))</f>
        <v/>
      </c>
      <c r="P175" s="19">
        <f>M175*C175/$B$33*60</f>
        <v/>
      </c>
      <c r="Q175" s="12">
        <f>DEGREES(ASIN(MIN(1,MAX(-1,M175/$B$33))))</f>
        <v/>
      </c>
    </row>
    <row r="176">
      <c r="A176" s="36" t="n">
        <v>100.5</v>
      </c>
      <c r="B176" s="19">
        <f>A176/SQRT($B$39)</f>
        <v/>
      </c>
      <c r="C176" s="12">
        <f>B176/0.5924838</f>
        <v/>
      </c>
      <c r="D176" s="18">
        <f>C176/($B$46*$B$23)</f>
        <v/>
      </c>
      <c r="E176" s="18">
        <f>D176/$B$47^(1/3)</f>
        <v/>
      </c>
      <c r="F176" s="15">
        <f>INDEX($C$6:$J$6,1,$B$49)+E176*(INDEX($C$7:$J$7,1,$B$49)+E176*(INDEX($C$8:$J$8,1,$B$49)+E176*(INDEX($C$9:$J$9,1,$B$49)+E176*(INDEX($C$10:$J$10,1,$B$49)+E176*(INDEX($C$11:$J$11,1,$B$49)+E176*(INDEX($C$12:$J$12,1,$B$49)))))))</f>
        <v/>
      </c>
      <c r="G176" s="15">
        <f>INDEX($C$6:$J$6,1,$B$49+1)+E176*(INDEX($C$7:$J$7,1,$B$49+1)+E176*(INDEX($C$8:$J$8,1,$B$49+1)+E176*(INDEX($C$9:$J$9,1,$B$49+1)+E176*(INDEX($C$10:$J$10,1,$B$49+1)+E176*(INDEX($C$11:$J$11,1,$B$49+1)+E176*(INDEX($C$12:$J$12,1,$B$49+1)))))))</f>
        <v/>
      </c>
      <c r="H176" s="18">
        <f>$B$44*(F176+$B$52*(G176-F176))</f>
        <v/>
      </c>
      <c r="I176" s="19">
        <f>H176*$B$45/C176</f>
        <v/>
      </c>
      <c r="J176" s="12">
        <f>0.5*$B$40*C176^2</f>
        <v/>
      </c>
      <c r="K176" s="12">
        <f>$B$24*J176*$B$19</f>
        <v/>
      </c>
      <c r="L176" s="12">
        <f>$B$33^2/(J176*$B$19*PI()*$B$43*$B$25)</f>
        <v/>
      </c>
      <c r="M176" s="19">
        <f>K176+L176</f>
        <v/>
      </c>
      <c r="N176" s="19">
        <f>(I176-M176)*C176/$B$33*60</f>
        <v/>
      </c>
      <c r="O176" s="12">
        <f>DEGREES(ASIN(MIN(1,MAX(-1,(I176-M176)/$B$33))))</f>
        <v/>
      </c>
      <c r="P176" s="19">
        <f>M176*C176/$B$33*60</f>
        <v/>
      </c>
      <c r="Q176" s="12">
        <f>DEGREES(ASIN(MIN(1,MAX(-1,M176/$B$33))))</f>
        <v/>
      </c>
    </row>
    <row r="177">
      <c r="A177" s="36" t="n">
        <v>101</v>
      </c>
      <c r="B177" s="19">
        <f>A177/SQRT($B$39)</f>
        <v/>
      </c>
      <c r="C177" s="12">
        <f>B177/0.5924838</f>
        <v/>
      </c>
      <c r="D177" s="18">
        <f>C177/($B$46*$B$23)</f>
        <v/>
      </c>
      <c r="E177" s="18">
        <f>D177/$B$47^(1/3)</f>
        <v/>
      </c>
      <c r="F177" s="15">
        <f>INDEX($C$6:$J$6,1,$B$49)+E177*(INDEX($C$7:$J$7,1,$B$49)+E177*(INDEX($C$8:$J$8,1,$B$49)+E177*(INDEX($C$9:$J$9,1,$B$49)+E177*(INDEX($C$10:$J$10,1,$B$49)+E177*(INDEX($C$11:$J$11,1,$B$49)+E177*(INDEX($C$12:$J$12,1,$B$49)))))))</f>
        <v/>
      </c>
      <c r="G177" s="15">
        <f>INDEX($C$6:$J$6,1,$B$49+1)+E177*(INDEX($C$7:$J$7,1,$B$49+1)+E177*(INDEX($C$8:$J$8,1,$B$49+1)+E177*(INDEX($C$9:$J$9,1,$B$49+1)+E177*(INDEX($C$10:$J$10,1,$B$49+1)+E177*(INDEX($C$11:$J$11,1,$B$49+1)+E177*(INDEX($C$12:$J$12,1,$B$49+1)))))))</f>
        <v/>
      </c>
      <c r="H177" s="18">
        <f>$B$44*(F177+$B$52*(G177-F177))</f>
        <v/>
      </c>
      <c r="I177" s="19">
        <f>H177*$B$45/C177</f>
        <v/>
      </c>
      <c r="J177" s="12">
        <f>0.5*$B$40*C177^2</f>
        <v/>
      </c>
      <c r="K177" s="12">
        <f>$B$24*J177*$B$19</f>
        <v/>
      </c>
      <c r="L177" s="12">
        <f>$B$33^2/(J177*$B$19*PI()*$B$43*$B$25)</f>
        <v/>
      </c>
      <c r="M177" s="19">
        <f>K177+L177</f>
        <v/>
      </c>
      <c r="N177" s="19">
        <f>(I177-M177)*C177/$B$33*60</f>
        <v/>
      </c>
      <c r="O177" s="12">
        <f>DEGREES(ASIN(MIN(1,MAX(-1,(I177-M177)/$B$33))))</f>
        <v/>
      </c>
      <c r="P177" s="19">
        <f>M177*C177/$B$33*60</f>
        <v/>
      </c>
      <c r="Q177" s="12">
        <f>DEGREES(ASIN(MIN(1,MAX(-1,M177/$B$33))))</f>
        <v/>
      </c>
    </row>
    <row r="178">
      <c r="A178" s="36" t="n">
        <v>101.5</v>
      </c>
      <c r="B178" s="19">
        <f>A178/SQRT($B$39)</f>
        <v/>
      </c>
      <c r="C178" s="12">
        <f>B178/0.5924838</f>
        <v/>
      </c>
      <c r="D178" s="18">
        <f>C178/($B$46*$B$23)</f>
        <v/>
      </c>
      <c r="E178" s="18">
        <f>D178/$B$47^(1/3)</f>
        <v/>
      </c>
      <c r="F178" s="15">
        <f>INDEX($C$6:$J$6,1,$B$49)+E178*(INDEX($C$7:$J$7,1,$B$49)+E178*(INDEX($C$8:$J$8,1,$B$49)+E178*(INDEX($C$9:$J$9,1,$B$49)+E178*(INDEX($C$10:$J$10,1,$B$49)+E178*(INDEX($C$11:$J$11,1,$B$49)+E178*(INDEX($C$12:$J$12,1,$B$49)))))))</f>
        <v/>
      </c>
      <c r="G178" s="15">
        <f>INDEX($C$6:$J$6,1,$B$49+1)+E178*(INDEX($C$7:$J$7,1,$B$49+1)+E178*(INDEX($C$8:$J$8,1,$B$49+1)+E178*(INDEX($C$9:$J$9,1,$B$49+1)+E178*(INDEX($C$10:$J$10,1,$B$49+1)+E178*(INDEX($C$11:$J$11,1,$B$49+1)+E178*(INDEX($C$12:$J$12,1,$B$49+1)))))))</f>
        <v/>
      </c>
      <c r="H178" s="18">
        <f>$B$44*(F178+$B$52*(G178-F178))</f>
        <v/>
      </c>
      <c r="I178" s="19">
        <f>H178*$B$45/C178</f>
        <v/>
      </c>
      <c r="J178" s="12">
        <f>0.5*$B$40*C178^2</f>
        <v/>
      </c>
      <c r="K178" s="12">
        <f>$B$24*J178*$B$19</f>
        <v/>
      </c>
      <c r="L178" s="12">
        <f>$B$33^2/(J178*$B$19*PI()*$B$43*$B$25)</f>
        <v/>
      </c>
      <c r="M178" s="19">
        <f>K178+L178</f>
        <v/>
      </c>
      <c r="N178" s="19">
        <f>(I178-M178)*C178/$B$33*60</f>
        <v/>
      </c>
      <c r="O178" s="12">
        <f>DEGREES(ASIN(MIN(1,MAX(-1,(I178-M178)/$B$33))))</f>
        <v/>
      </c>
      <c r="P178" s="19">
        <f>M178*C178/$B$33*60</f>
        <v/>
      </c>
      <c r="Q178" s="12">
        <f>DEGREES(ASIN(MIN(1,MAX(-1,M178/$B$33))))</f>
        <v/>
      </c>
    </row>
    <row r="179">
      <c r="A179" s="36" t="n">
        <v>102</v>
      </c>
      <c r="B179" s="19">
        <f>A179/SQRT($B$39)</f>
        <v/>
      </c>
      <c r="C179" s="12">
        <f>B179/0.5924838</f>
        <v/>
      </c>
      <c r="D179" s="18">
        <f>C179/($B$46*$B$23)</f>
        <v/>
      </c>
      <c r="E179" s="18">
        <f>D179/$B$47^(1/3)</f>
        <v/>
      </c>
      <c r="F179" s="15">
        <f>INDEX($C$6:$J$6,1,$B$49)+E179*(INDEX($C$7:$J$7,1,$B$49)+E179*(INDEX($C$8:$J$8,1,$B$49)+E179*(INDEX($C$9:$J$9,1,$B$49)+E179*(INDEX($C$10:$J$10,1,$B$49)+E179*(INDEX($C$11:$J$11,1,$B$49)+E179*(INDEX($C$12:$J$12,1,$B$49)))))))</f>
        <v/>
      </c>
      <c r="G179" s="15">
        <f>INDEX($C$6:$J$6,1,$B$49+1)+E179*(INDEX($C$7:$J$7,1,$B$49+1)+E179*(INDEX($C$8:$J$8,1,$B$49+1)+E179*(INDEX($C$9:$J$9,1,$B$49+1)+E179*(INDEX($C$10:$J$10,1,$B$49+1)+E179*(INDEX($C$11:$J$11,1,$B$49+1)+E179*(INDEX($C$12:$J$12,1,$B$49+1)))))))</f>
        <v/>
      </c>
      <c r="H179" s="18">
        <f>$B$44*(F179+$B$52*(G179-F179))</f>
        <v/>
      </c>
      <c r="I179" s="19">
        <f>H179*$B$45/C179</f>
        <v/>
      </c>
      <c r="J179" s="12">
        <f>0.5*$B$40*C179^2</f>
        <v/>
      </c>
      <c r="K179" s="12">
        <f>$B$24*J179*$B$19</f>
        <v/>
      </c>
      <c r="L179" s="12">
        <f>$B$33^2/(J179*$B$19*PI()*$B$43*$B$25)</f>
        <v/>
      </c>
      <c r="M179" s="19">
        <f>K179+L179</f>
        <v/>
      </c>
      <c r="N179" s="19">
        <f>(I179-M179)*C179/$B$33*60</f>
        <v/>
      </c>
      <c r="O179" s="12">
        <f>DEGREES(ASIN(MIN(1,MAX(-1,(I179-M179)/$B$33))))</f>
        <v/>
      </c>
      <c r="P179" s="19">
        <f>M179*C179/$B$33*60</f>
        <v/>
      </c>
      <c r="Q179" s="12">
        <f>DEGREES(ASIN(MIN(1,MAX(-1,M179/$B$33))))</f>
        <v/>
      </c>
    </row>
    <row r="180">
      <c r="A180" s="36" t="n">
        <v>102.5</v>
      </c>
      <c r="B180" s="19">
        <f>A180/SQRT($B$39)</f>
        <v/>
      </c>
      <c r="C180" s="12">
        <f>B180/0.5924838</f>
        <v/>
      </c>
      <c r="D180" s="18">
        <f>C180/($B$46*$B$23)</f>
        <v/>
      </c>
      <c r="E180" s="18">
        <f>D180/$B$47^(1/3)</f>
        <v/>
      </c>
      <c r="F180" s="15">
        <f>INDEX($C$6:$J$6,1,$B$49)+E180*(INDEX($C$7:$J$7,1,$B$49)+E180*(INDEX($C$8:$J$8,1,$B$49)+E180*(INDEX($C$9:$J$9,1,$B$49)+E180*(INDEX($C$10:$J$10,1,$B$49)+E180*(INDEX($C$11:$J$11,1,$B$49)+E180*(INDEX($C$12:$J$12,1,$B$49)))))))</f>
        <v/>
      </c>
      <c r="G180" s="15">
        <f>INDEX($C$6:$J$6,1,$B$49+1)+E180*(INDEX($C$7:$J$7,1,$B$49+1)+E180*(INDEX($C$8:$J$8,1,$B$49+1)+E180*(INDEX($C$9:$J$9,1,$B$49+1)+E180*(INDEX($C$10:$J$10,1,$B$49+1)+E180*(INDEX($C$11:$J$11,1,$B$49+1)+E180*(INDEX($C$12:$J$12,1,$B$49+1)))))))</f>
        <v/>
      </c>
      <c r="H180" s="18">
        <f>$B$44*(F180+$B$52*(G180-F180))</f>
        <v/>
      </c>
      <c r="I180" s="19">
        <f>H180*$B$45/C180</f>
        <v/>
      </c>
      <c r="J180" s="12">
        <f>0.5*$B$40*C180^2</f>
        <v/>
      </c>
      <c r="K180" s="12">
        <f>$B$24*J180*$B$19</f>
        <v/>
      </c>
      <c r="L180" s="12">
        <f>$B$33^2/(J180*$B$19*PI()*$B$43*$B$25)</f>
        <v/>
      </c>
      <c r="M180" s="19">
        <f>K180+L180</f>
        <v/>
      </c>
      <c r="N180" s="19">
        <f>(I180-M180)*C180/$B$33*60</f>
        <v/>
      </c>
      <c r="O180" s="12">
        <f>DEGREES(ASIN(MIN(1,MAX(-1,(I180-M180)/$B$33))))</f>
        <v/>
      </c>
      <c r="P180" s="19">
        <f>M180*C180/$B$33*60</f>
        <v/>
      </c>
      <c r="Q180" s="12">
        <f>DEGREES(ASIN(MIN(1,MAX(-1,M180/$B$33))))</f>
        <v/>
      </c>
    </row>
    <row r="181">
      <c r="A181" s="36" t="n">
        <v>103</v>
      </c>
      <c r="B181" s="19">
        <f>A181/SQRT($B$39)</f>
        <v/>
      </c>
      <c r="C181" s="12">
        <f>B181/0.5924838</f>
        <v/>
      </c>
      <c r="D181" s="18">
        <f>C181/($B$46*$B$23)</f>
        <v/>
      </c>
      <c r="E181" s="18">
        <f>D181/$B$47^(1/3)</f>
        <v/>
      </c>
      <c r="F181" s="15">
        <f>INDEX($C$6:$J$6,1,$B$49)+E181*(INDEX($C$7:$J$7,1,$B$49)+E181*(INDEX($C$8:$J$8,1,$B$49)+E181*(INDEX($C$9:$J$9,1,$B$49)+E181*(INDEX($C$10:$J$10,1,$B$49)+E181*(INDEX($C$11:$J$11,1,$B$49)+E181*(INDEX($C$12:$J$12,1,$B$49)))))))</f>
        <v/>
      </c>
      <c r="G181" s="15">
        <f>INDEX($C$6:$J$6,1,$B$49+1)+E181*(INDEX($C$7:$J$7,1,$B$49+1)+E181*(INDEX($C$8:$J$8,1,$B$49+1)+E181*(INDEX($C$9:$J$9,1,$B$49+1)+E181*(INDEX($C$10:$J$10,1,$B$49+1)+E181*(INDEX($C$11:$J$11,1,$B$49+1)+E181*(INDEX($C$12:$J$12,1,$B$49+1)))))))</f>
        <v/>
      </c>
      <c r="H181" s="18">
        <f>$B$44*(F181+$B$52*(G181-F181))</f>
        <v/>
      </c>
      <c r="I181" s="19">
        <f>H181*$B$45/C181</f>
        <v/>
      </c>
      <c r="J181" s="12">
        <f>0.5*$B$40*C181^2</f>
        <v/>
      </c>
      <c r="K181" s="12">
        <f>$B$24*J181*$B$19</f>
        <v/>
      </c>
      <c r="L181" s="12">
        <f>$B$33^2/(J181*$B$19*PI()*$B$43*$B$25)</f>
        <v/>
      </c>
      <c r="M181" s="19">
        <f>K181+L181</f>
        <v/>
      </c>
      <c r="N181" s="19">
        <f>(I181-M181)*C181/$B$33*60</f>
        <v/>
      </c>
      <c r="O181" s="12">
        <f>DEGREES(ASIN(MIN(1,MAX(-1,(I181-M181)/$B$33))))</f>
        <v/>
      </c>
      <c r="P181" s="19">
        <f>M181*C181/$B$33*60</f>
        <v/>
      </c>
      <c r="Q181" s="12">
        <f>DEGREES(ASIN(MIN(1,MAX(-1,M181/$B$33))))</f>
        <v/>
      </c>
    </row>
    <row r="182">
      <c r="A182" s="36" t="n">
        <v>103.5</v>
      </c>
      <c r="B182" s="19">
        <f>A182/SQRT($B$39)</f>
        <v/>
      </c>
      <c r="C182" s="12">
        <f>B182/0.5924838</f>
        <v/>
      </c>
      <c r="D182" s="18">
        <f>C182/($B$46*$B$23)</f>
        <v/>
      </c>
      <c r="E182" s="18">
        <f>D182/$B$47^(1/3)</f>
        <v/>
      </c>
      <c r="F182" s="15">
        <f>INDEX($C$6:$J$6,1,$B$49)+E182*(INDEX($C$7:$J$7,1,$B$49)+E182*(INDEX($C$8:$J$8,1,$B$49)+E182*(INDEX($C$9:$J$9,1,$B$49)+E182*(INDEX($C$10:$J$10,1,$B$49)+E182*(INDEX($C$11:$J$11,1,$B$49)+E182*(INDEX($C$12:$J$12,1,$B$49)))))))</f>
        <v/>
      </c>
      <c r="G182" s="15">
        <f>INDEX($C$6:$J$6,1,$B$49+1)+E182*(INDEX($C$7:$J$7,1,$B$49+1)+E182*(INDEX($C$8:$J$8,1,$B$49+1)+E182*(INDEX($C$9:$J$9,1,$B$49+1)+E182*(INDEX($C$10:$J$10,1,$B$49+1)+E182*(INDEX($C$11:$J$11,1,$B$49+1)+E182*(INDEX($C$12:$J$12,1,$B$49+1)))))))</f>
        <v/>
      </c>
      <c r="H182" s="18">
        <f>$B$44*(F182+$B$52*(G182-F182))</f>
        <v/>
      </c>
      <c r="I182" s="19">
        <f>H182*$B$45/C182</f>
        <v/>
      </c>
      <c r="J182" s="12">
        <f>0.5*$B$40*C182^2</f>
        <v/>
      </c>
      <c r="K182" s="12">
        <f>$B$24*J182*$B$19</f>
        <v/>
      </c>
      <c r="L182" s="12">
        <f>$B$33^2/(J182*$B$19*PI()*$B$43*$B$25)</f>
        <v/>
      </c>
      <c r="M182" s="19">
        <f>K182+L182</f>
        <v/>
      </c>
      <c r="N182" s="19">
        <f>(I182-M182)*C182/$B$33*60</f>
        <v/>
      </c>
      <c r="O182" s="12">
        <f>DEGREES(ASIN(MIN(1,MAX(-1,(I182-M182)/$B$33))))</f>
        <v/>
      </c>
      <c r="P182" s="19">
        <f>M182*C182/$B$33*60</f>
        <v/>
      </c>
      <c r="Q182" s="12">
        <f>DEGREES(ASIN(MIN(1,MAX(-1,M182/$B$33))))</f>
        <v/>
      </c>
    </row>
    <row r="183">
      <c r="A183" s="36" t="n">
        <v>104</v>
      </c>
      <c r="B183" s="19">
        <f>A183/SQRT($B$39)</f>
        <v/>
      </c>
      <c r="C183" s="12">
        <f>B183/0.5924838</f>
        <v/>
      </c>
      <c r="D183" s="18">
        <f>C183/($B$46*$B$23)</f>
        <v/>
      </c>
      <c r="E183" s="18">
        <f>D183/$B$47^(1/3)</f>
        <v/>
      </c>
      <c r="F183" s="15">
        <f>INDEX($C$6:$J$6,1,$B$49)+E183*(INDEX($C$7:$J$7,1,$B$49)+E183*(INDEX($C$8:$J$8,1,$B$49)+E183*(INDEX($C$9:$J$9,1,$B$49)+E183*(INDEX($C$10:$J$10,1,$B$49)+E183*(INDEX($C$11:$J$11,1,$B$49)+E183*(INDEX($C$12:$J$12,1,$B$49)))))))</f>
        <v/>
      </c>
      <c r="G183" s="15">
        <f>INDEX($C$6:$J$6,1,$B$49+1)+E183*(INDEX($C$7:$J$7,1,$B$49+1)+E183*(INDEX($C$8:$J$8,1,$B$49+1)+E183*(INDEX($C$9:$J$9,1,$B$49+1)+E183*(INDEX($C$10:$J$10,1,$B$49+1)+E183*(INDEX($C$11:$J$11,1,$B$49+1)+E183*(INDEX($C$12:$J$12,1,$B$49+1)))))))</f>
        <v/>
      </c>
      <c r="H183" s="18">
        <f>$B$44*(F183+$B$52*(G183-F183))</f>
        <v/>
      </c>
      <c r="I183" s="19">
        <f>H183*$B$45/C183</f>
        <v/>
      </c>
      <c r="J183" s="12">
        <f>0.5*$B$40*C183^2</f>
        <v/>
      </c>
      <c r="K183" s="12">
        <f>$B$24*J183*$B$19</f>
        <v/>
      </c>
      <c r="L183" s="12">
        <f>$B$33^2/(J183*$B$19*PI()*$B$43*$B$25)</f>
        <v/>
      </c>
      <c r="M183" s="19">
        <f>K183+L183</f>
        <v/>
      </c>
      <c r="N183" s="19">
        <f>(I183-M183)*C183/$B$33*60</f>
        <v/>
      </c>
      <c r="O183" s="12">
        <f>DEGREES(ASIN(MIN(1,MAX(-1,(I183-M183)/$B$33))))</f>
        <v/>
      </c>
      <c r="P183" s="19">
        <f>M183*C183/$B$33*60</f>
        <v/>
      </c>
      <c r="Q183" s="12">
        <f>DEGREES(ASIN(MIN(1,MAX(-1,M183/$B$33))))</f>
        <v/>
      </c>
    </row>
    <row r="184">
      <c r="A184" s="36" t="n">
        <v>104.5</v>
      </c>
      <c r="B184" s="19">
        <f>A184/SQRT($B$39)</f>
        <v/>
      </c>
      <c r="C184" s="12">
        <f>B184/0.5924838</f>
        <v/>
      </c>
      <c r="D184" s="18">
        <f>C184/($B$46*$B$23)</f>
        <v/>
      </c>
      <c r="E184" s="18">
        <f>D184/$B$47^(1/3)</f>
        <v/>
      </c>
      <c r="F184" s="15">
        <f>INDEX($C$6:$J$6,1,$B$49)+E184*(INDEX($C$7:$J$7,1,$B$49)+E184*(INDEX($C$8:$J$8,1,$B$49)+E184*(INDEX($C$9:$J$9,1,$B$49)+E184*(INDEX($C$10:$J$10,1,$B$49)+E184*(INDEX($C$11:$J$11,1,$B$49)+E184*(INDEX($C$12:$J$12,1,$B$49)))))))</f>
        <v/>
      </c>
      <c r="G184" s="15">
        <f>INDEX($C$6:$J$6,1,$B$49+1)+E184*(INDEX($C$7:$J$7,1,$B$49+1)+E184*(INDEX($C$8:$J$8,1,$B$49+1)+E184*(INDEX($C$9:$J$9,1,$B$49+1)+E184*(INDEX($C$10:$J$10,1,$B$49+1)+E184*(INDEX($C$11:$J$11,1,$B$49+1)+E184*(INDEX($C$12:$J$12,1,$B$49+1)))))))</f>
        <v/>
      </c>
      <c r="H184" s="18">
        <f>$B$44*(F184+$B$52*(G184-F184))</f>
        <v/>
      </c>
      <c r="I184" s="19">
        <f>H184*$B$45/C184</f>
        <v/>
      </c>
      <c r="J184" s="12">
        <f>0.5*$B$40*C184^2</f>
        <v/>
      </c>
      <c r="K184" s="12">
        <f>$B$24*J184*$B$19</f>
        <v/>
      </c>
      <c r="L184" s="12">
        <f>$B$33^2/(J184*$B$19*PI()*$B$43*$B$25)</f>
        <v/>
      </c>
      <c r="M184" s="19">
        <f>K184+L184</f>
        <v/>
      </c>
      <c r="N184" s="19">
        <f>(I184-M184)*C184/$B$33*60</f>
        <v/>
      </c>
      <c r="O184" s="12">
        <f>DEGREES(ASIN(MIN(1,MAX(-1,(I184-M184)/$B$33))))</f>
        <v/>
      </c>
      <c r="P184" s="19">
        <f>M184*C184/$B$33*60</f>
        <v/>
      </c>
      <c r="Q184" s="12">
        <f>DEGREES(ASIN(MIN(1,MAX(-1,M184/$B$33))))</f>
        <v/>
      </c>
    </row>
    <row r="185">
      <c r="A185" s="36" t="n">
        <v>105</v>
      </c>
      <c r="B185" s="19">
        <f>A185/SQRT($B$39)</f>
        <v/>
      </c>
      <c r="C185" s="12">
        <f>B185/0.5924838</f>
        <v/>
      </c>
      <c r="D185" s="18">
        <f>C185/($B$46*$B$23)</f>
        <v/>
      </c>
      <c r="E185" s="18">
        <f>D185/$B$47^(1/3)</f>
        <v/>
      </c>
      <c r="F185" s="15">
        <f>INDEX($C$6:$J$6,1,$B$49)+E185*(INDEX($C$7:$J$7,1,$B$49)+E185*(INDEX($C$8:$J$8,1,$B$49)+E185*(INDEX($C$9:$J$9,1,$B$49)+E185*(INDEX($C$10:$J$10,1,$B$49)+E185*(INDEX($C$11:$J$11,1,$B$49)+E185*(INDEX($C$12:$J$12,1,$B$49)))))))</f>
        <v/>
      </c>
      <c r="G185" s="15">
        <f>INDEX($C$6:$J$6,1,$B$49+1)+E185*(INDEX($C$7:$J$7,1,$B$49+1)+E185*(INDEX($C$8:$J$8,1,$B$49+1)+E185*(INDEX($C$9:$J$9,1,$B$49+1)+E185*(INDEX($C$10:$J$10,1,$B$49+1)+E185*(INDEX($C$11:$J$11,1,$B$49+1)+E185*(INDEX($C$12:$J$12,1,$B$49+1)))))))</f>
        <v/>
      </c>
      <c r="H185" s="18">
        <f>$B$44*(F185+$B$52*(G185-F185))</f>
        <v/>
      </c>
      <c r="I185" s="19">
        <f>H185*$B$45/C185</f>
        <v/>
      </c>
      <c r="J185" s="12">
        <f>0.5*$B$40*C185^2</f>
        <v/>
      </c>
      <c r="K185" s="12">
        <f>$B$24*J185*$B$19</f>
        <v/>
      </c>
      <c r="L185" s="12">
        <f>$B$33^2/(J185*$B$19*PI()*$B$43*$B$25)</f>
        <v/>
      </c>
      <c r="M185" s="19">
        <f>K185+L185</f>
        <v/>
      </c>
      <c r="N185" s="19">
        <f>(I185-M185)*C185/$B$33*60</f>
        <v/>
      </c>
      <c r="O185" s="12">
        <f>DEGREES(ASIN(MIN(1,MAX(-1,(I185-M185)/$B$33))))</f>
        <v/>
      </c>
      <c r="P185" s="19">
        <f>M185*C185/$B$33*60</f>
        <v/>
      </c>
      <c r="Q185" s="12">
        <f>DEGREES(ASIN(MIN(1,MAX(-1,M185/$B$33))))</f>
        <v/>
      </c>
    </row>
    <row r="186">
      <c r="A186" s="36" t="n">
        <v>105.5</v>
      </c>
      <c r="B186" s="19">
        <f>A186/SQRT($B$39)</f>
        <v/>
      </c>
      <c r="C186" s="12">
        <f>B186/0.5924838</f>
        <v/>
      </c>
      <c r="D186" s="18">
        <f>C186/($B$46*$B$23)</f>
        <v/>
      </c>
      <c r="E186" s="18">
        <f>D186/$B$47^(1/3)</f>
        <v/>
      </c>
      <c r="F186" s="15">
        <f>INDEX($C$6:$J$6,1,$B$49)+E186*(INDEX($C$7:$J$7,1,$B$49)+E186*(INDEX($C$8:$J$8,1,$B$49)+E186*(INDEX($C$9:$J$9,1,$B$49)+E186*(INDEX($C$10:$J$10,1,$B$49)+E186*(INDEX($C$11:$J$11,1,$B$49)+E186*(INDEX($C$12:$J$12,1,$B$49)))))))</f>
        <v/>
      </c>
      <c r="G186" s="15">
        <f>INDEX($C$6:$J$6,1,$B$49+1)+E186*(INDEX($C$7:$J$7,1,$B$49+1)+E186*(INDEX($C$8:$J$8,1,$B$49+1)+E186*(INDEX($C$9:$J$9,1,$B$49+1)+E186*(INDEX($C$10:$J$10,1,$B$49+1)+E186*(INDEX($C$11:$J$11,1,$B$49+1)+E186*(INDEX($C$12:$J$12,1,$B$49+1)))))))</f>
        <v/>
      </c>
      <c r="H186" s="18">
        <f>$B$44*(F186+$B$52*(G186-F186))</f>
        <v/>
      </c>
      <c r="I186" s="19">
        <f>H186*$B$45/C186</f>
        <v/>
      </c>
      <c r="J186" s="12">
        <f>0.5*$B$40*C186^2</f>
        <v/>
      </c>
      <c r="K186" s="12">
        <f>$B$24*J186*$B$19</f>
        <v/>
      </c>
      <c r="L186" s="12">
        <f>$B$33^2/(J186*$B$19*PI()*$B$43*$B$25)</f>
        <v/>
      </c>
      <c r="M186" s="19">
        <f>K186+L186</f>
        <v/>
      </c>
      <c r="N186" s="19">
        <f>(I186-M186)*C186/$B$33*60</f>
        <v/>
      </c>
      <c r="O186" s="12">
        <f>DEGREES(ASIN(MIN(1,MAX(-1,(I186-M186)/$B$33))))</f>
        <v/>
      </c>
      <c r="P186" s="19">
        <f>M186*C186/$B$33*60</f>
        <v/>
      </c>
      <c r="Q186" s="12">
        <f>DEGREES(ASIN(MIN(1,MAX(-1,M186/$B$33))))</f>
        <v/>
      </c>
    </row>
    <row r="187">
      <c r="A187" s="36" t="n">
        <v>106</v>
      </c>
      <c r="B187" s="19">
        <f>A187/SQRT($B$39)</f>
        <v/>
      </c>
      <c r="C187" s="12">
        <f>B187/0.5924838</f>
        <v/>
      </c>
      <c r="D187" s="18">
        <f>C187/($B$46*$B$23)</f>
        <v/>
      </c>
      <c r="E187" s="18">
        <f>D187/$B$47^(1/3)</f>
        <v/>
      </c>
      <c r="F187" s="15">
        <f>INDEX($C$6:$J$6,1,$B$49)+E187*(INDEX($C$7:$J$7,1,$B$49)+E187*(INDEX($C$8:$J$8,1,$B$49)+E187*(INDEX($C$9:$J$9,1,$B$49)+E187*(INDEX($C$10:$J$10,1,$B$49)+E187*(INDEX($C$11:$J$11,1,$B$49)+E187*(INDEX($C$12:$J$12,1,$B$49)))))))</f>
        <v/>
      </c>
      <c r="G187" s="15">
        <f>INDEX($C$6:$J$6,1,$B$49+1)+E187*(INDEX($C$7:$J$7,1,$B$49+1)+E187*(INDEX($C$8:$J$8,1,$B$49+1)+E187*(INDEX($C$9:$J$9,1,$B$49+1)+E187*(INDEX($C$10:$J$10,1,$B$49+1)+E187*(INDEX($C$11:$J$11,1,$B$49+1)+E187*(INDEX($C$12:$J$12,1,$B$49+1)))))))</f>
        <v/>
      </c>
      <c r="H187" s="18">
        <f>$B$44*(F187+$B$52*(G187-F187))</f>
        <v/>
      </c>
      <c r="I187" s="19">
        <f>H187*$B$45/C187</f>
        <v/>
      </c>
      <c r="J187" s="12">
        <f>0.5*$B$40*C187^2</f>
        <v/>
      </c>
      <c r="K187" s="12">
        <f>$B$24*J187*$B$19</f>
        <v/>
      </c>
      <c r="L187" s="12">
        <f>$B$33^2/(J187*$B$19*PI()*$B$43*$B$25)</f>
        <v/>
      </c>
      <c r="M187" s="19">
        <f>K187+L187</f>
        <v/>
      </c>
      <c r="N187" s="19">
        <f>(I187-M187)*C187/$B$33*60</f>
        <v/>
      </c>
      <c r="O187" s="12">
        <f>DEGREES(ASIN(MIN(1,MAX(-1,(I187-M187)/$B$33))))</f>
        <v/>
      </c>
      <c r="P187" s="19">
        <f>M187*C187/$B$33*60</f>
        <v/>
      </c>
      <c r="Q187" s="12">
        <f>DEGREES(ASIN(MIN(1,MAX(-1,M187/$B$33))))</f>
        <v/>
      </c>
    </row>
    <row r="188">
      <c r="A188" s="36" t="n">
        <v>106.5</v>
      </c>
      <c r="B188" s="19">
        <f>A188/SQRT($B$39)</f>
        <v/>
      </c>
      <c r="C188" s="12">
        <f>B188/0.5924838</f>
        <v/>
      </c>
      <c r="D188" s="18">
        <f>C188/($B$46*$B$23)</f>
        <v/>
      </c>
      <c r="E188" s="18">
        <f>D188/$B$47^(1/3)</f>
        <v/>
      </c>
      <c r="F188" s="15">
        <f>INDEX($C$6:$J$6,1,$B$49)+E188*(INDEX($C$7:$J$7,1,$B$49)+E188*(INDEX($C$8:$J$8,1,$B$49)+E188*(INDEX($C$9:$J$9,1,$B$49)+E188*(INDEX($C$10:$J$10,1,$B$49)+E188*(INDEX($C$11:$J$11,1,$B$49)+E188*(INDEX($C$12:$J$12,1,$B$49)))))))</f>
        <v/>
      </c>
      <c r="G188" s="15">
        <f>INDEX($C$6:$J$6,1,$B$49+1)+E188*(INDEX($C$7:$J$7,1,$B$49+1)+E188*(INDEX($C$8:$J$8,1,$B$49+1)+E188*(INDEX($C$9:$J$9,1,$B$49+1)+E188*(INDEX($C$10:$J$10,1,$B$49+1)+E188*(INDEX($C$11:$J$11,1,$B$49+1)+E188*(INDEX($C$12:$J$12,1,$B$49+1)))))))</f>
        <v/>
      </c>
      <c r="H188" s="18">
        <f>$B$44*(F188+$B$52*(G188-F188))</f>
        <v/>
      </c>
      <c r="I188" s="19">
        <f>H188*$B$45/C188</f>
        <v/>
      </c>
      <c r="J188" s="12">
        <f>0.5*$B$40*C188^2</f>
        <v/>
      </c>
      <c r="K188" s="12">
        <f>$B$24*J188*$B$19</f>
        <v/>
      </c>
      <c r="L188" s="12">
        <f>$B$33^2/(J188*$B$19*PI()*$B$43*$B$25)</f>
        <v/>
      </c>
      <c r="M188" s="19">
        <f>K188+L188</f>
        <v/>
      </c>
      <c r="N188" s="19">
        <f>(I188-M188)*C188/$B$33*60</f>
        <v/>
      </c>
      <c r="O188" s="12">
        <f>DEGREES(ASIN(MIN(1,MAX(-1,(I188-M188)/$B$33))))</f>
        <v/>
      </c>
      <c r="P188" s="19">
        <f>M188*C188/$B$33*60</f>
        <v/>
      </c>
      <c r="Q188" s="12">
        <f>DEGREES(ASIN(MIN(1,MAX(-1,M188/$B$33))))</f>
        <v/>
      </c>
    </row>
    <row r="189">
      <c r="A189" s="36" t="n">
        <v>107</v>
      </c>
      <c r="B189" s="19">
        <f>A189/SQRT($B$39)</f>
        <v/>
      </c>
      <c r="C189" s="12">
        <f>B189/0.5924838</f>
        <v/>
      </c>
      <c r="D189" s="18">
        <f>C189/($B$46*$B$23)</f>
        <v/>
      </c>
      <c r="E189" s="18">
        <f>D189/$B$47^(1/3)</f>
        <v/>
      </c>
      <c r="F189" s="15">
        <f>INDEX($C$6:$J$6,1,$B$49)+E189*(INDEX($C$7:$J$7,1,$B$49)+E189*(INDEX($C$8:$J$8,1,$B$49)+E189*(INDEX($C$9:$J$9,1,$B$49)+E189*(INDEX($C$10:$J$10,1,$B$49)+E189*(INDEX($C$11:$J$11,1,$B$49)+E189*(INDEX($C$12:$J$12,1,$B$49)))))))</f>
        <v/>
      </c>
      <c r="G189" s="15">
        <f>INDEX($C$6:$J$6,1,$B$49+1)+E189*(INDEX($C$7:$J$7,1,$B$49+1)+E189*(INDEX($C$8:$J$8,1,$B$49+1)+E189*(INDEX($C$9:$J$9,1,$B$49+1)+E189*(INDEX($C$10:$J$10,1,$B$49+1)+E189*(INDEX($C$11:$J$11,1,$B$49+1)+E189*(INDEX($C$12:$J$12,1,$B$49+1)))))))</f>
        <v/>
      </c>
      <c r="H189" s="18">
        <f>$B$44*(F189+$B$52*(G189-F189))</f>
        <v/>
      </c>
      <c r="I189" s="19">
        <f>H189*$B$45/C189</f>
        <v/>
      </c>
      <c r="J189" s="12">
        <f>0.5*$B$40*C189^2</f>
        <v/>
      </c>
      <c r="K189" s="12">
        <f>$B$24*J189*$B$19</f>
        <v/>
      </c>
      <c r="L189" s="12">
        <f>$B$33^2/(J189*$B$19*PI()*$B$43*$B$25)</f>
        <v/>
      </c>
      <c r="M189" s="19">
        <f>K189+L189</f>
        <v/>
      </c>
      <c r="N189" s="19">
        <f>(I189-M189)*C189/$B$33*60</f>
        <v/>
      </c>
      <c r="O189" s="12">
        <f>DEGREES(ASIN(MIN(1,MAX(-1,(I189-M189)/$B$33))))</f>
        <v/>
      </c>
      <c r="P189" s="19">
        <f>M189*C189/$B$33*60</f>
        <v/>
      </c>
      <c r="Q189" s="12">
        <f>DEGREES(ASIN(MIN(1,MAX(-1,M189/$B$33))))</f>
        <v/>
      </c>
    </row>
    <row r="190">
      <c r="A190" s="36" t="n">
        <v>107.5</v>
      </c>
      <c r="B190" s="19">
        <f>A190/SQRT($B$39)</f>
        <v/>
      </c>
      <c r="C190" s="12">
        <f>B190/0.5924838</f>
        <v/>
      </c>
      <c r="D190" s="18">
        <f>C190/($B$46*$B$23)</f>
        <v/>
      </c>
      <c r="E190" s="18">
        <f>D190/$B$47^(1/3)</f>
        <v/>
      </c>
      <c r="F190" s="15">
        <f>INDEX($C$6:$J$6,1,$B$49)+E190*(INDEX($C$7:$J$7,1,$B$49)+E190*(INDEX($C$8:$J$8,1,$B$49)+E190*(INDEX($C$9:$J$9,1,$B$49)+E190*(INDEX($C$10:$J$10,1,$B$49)+E190*(INDEX($C$11:$J$11,1,$B$49)+E190*(INDEX($C$12:$J$12,1,$B$49)))))))</f>
        <v/>
      </c>
      <c r="G190" s="15">
        <f>INDEX($C$6:$J$6,1,$B$49+1)+E190*(INDEX($C$7:$J$7,1,$B$49+1)+E190*(INDEX($C$8:$J$8,1,$B$49+1)+E190*(INDEX($C$9:$J$9,1,$B$49+1)+E190*(INDEX($C$10:$J$10,1,$B$49+1)+E190*(INDEX($C$11:$J$11,1,$B$49+1)+E190*(INDEX($C$12:$J$12,1,$B$49+1)))))))</f>
        <v/>
      </c>
      <c r="H190" s="18">
        <f>$B$44*(F190+$B$52*(G190-F190))</f>
        <v/>
      </c>
      <c r="I190" s="19">
        <f>H190*$B$45/C190</f>
        <v/>
      </c>
      <c r="J190" s="12">
        <f>0.5*$B$40*C190^2</f>
        <v/>
      </c>
      <c r="K190" s="12">
        <f>$B$24*J190*$B$19</f>
        <v/>
      </c>
      <c r="L190" s="12">
        <f>$B$33^2/(J190*$B$19*PI()*$B$43*$B$25)</f>
        <v/>
      </c>
      <c r="M190" s="19">
        <f>K190+L190</f>
        <v/>
      </c>
      <c r="N190" s="19">
        <f>(I190-M190)*C190/$B$33*60</f>
        <v/>
      </c>
      <c r="O190" s="12">
        <f>DEGREES(ASIN(MIN(1,MAX(-1,(I190-M190)/$B$33))))</f>
        <v/>
      </c>
      <c r="P190" s="19">
        <f>M190*C190/$B$33*60</f>
        <v/>
      </c>
      <c r="Q190" s="12">
        <f>DEGREES(ASIN(MIN(1,MAX(-1,M190/$B$33))))</f>
        <v/>
      </c>
    </row>
    <row r="191">
      <c r="A191" s="36" t="n">
        <v>108</v>
      </c>
      <c r="B191" s="19">
        <f>A191/SQRT($B$39)</f>
        <v/>
      </c>
      <c r="C191" s="12">
        <f>B191/0.5924838</f>
        <v/>
      </c>
      <c r="D191" s="18">
        <f>C191/($B$46*$B$23)</f>
        <v/>
      </c>
      <c r="E191" s="18">
        <f>D191/$B$47^(1/3)</f>
        <v/>
      </c>
      <c r="F191" s="15">
        <f>INDEX($C$6:$J$6,1,$B$49)+E191*(INDEX($C$7:$J$7,1,$B$49)+E191*(INDEX($C$8:$J$8,1,$B$49)+E191*(INDEX($C$9:$J$9,1,$B$49)+E191*(INDEX($C$10:$J$10,1,$B$49)+E191*(INDEX($C$11:$J$11,1,$B$49)+E191*(INDEX($C$12:$J$12,1,$B$49)))))))</f>
        <v/>
      </c>
      <c r="G191" s="15">
        <f>INDEX($C$6:$J$6,1,$B$49+1)+E191*(INDEX($C$7:$J$7,1,$B$49+1)+E191*(INDEX($C$8:$J$8,1,$B$49+1)+E191*(INDEX($C$9:$J$9,1,$B$49+1)+E191*(INDEX($C$10:$J$10,1,$B$49+1)+E191*(INDEX($C$11:$J$11,1,$B$49+1)+E191*(INDEX($C$12:$J$12,1,$B$49+1)))))))</f>
        <v/>
      </c>
      <c r="H191" s="18">
        <f>$B$44*(F191+$B$52*(G191-F191))</f>
        <v/>
      </c>
      <c r="I191" s="19">
        <f>H191*$B$45/C191</f>
        <v/>
      </c>
      <c r="J191" s="12">
        <f>0.5*$B$40*C191^2</f>
        <v/>
      </c>
      <c r="K191" s="12">
        <f>$B$24*J191*$B$19</f>
        <v/>
      </c>
      <c r="L191" s="12">
        <f>$B$33^2/(J191*$B$19*PI()*$B$43*$B$25)</f>
        <v/>
      </c>
      <c r="M191" s="19">
        <f>K191+L191</f>
        <v/>
      </c>
      <c r="N191" s="19">
        <f>(I191-M191)*C191/$B$33*60</f>
        <v/>
      </c>
      <c r="O191" s="12">
        <f>DEGREES(ASIN(MIN(1,MAX(-1,(I191-M191)/$B$33))))</f>
        <v/>
      </c>
      <c r="P191" s="19">
        <f>M191*C191/$B$33*60</f>
        <v/>
      </c>
      <c r="Q191" s="12">
        <f>DEGREES(ASIN(MIN(1,MAX(-1,M191/$B$33))))</f>
        <v/>
      </c>
    </row>
    <row r="192">
      <c r="A192" s="36" t="n">
        <v>108.5</v>
      </c>
      <c r="B192" s="19">
        <f>A192/SQRT($B$39)</f>
        <v/>
      </c>
      <c r="C192" s="12">
        <f>B192/0.5924838</f>
        <v/>
      </c>
      <c r="D192" s="18">
        <f>C192/($B$46*$B$23)</f>
        <v/>
      </c>
      <c r="E192" s="18">
        <f>D192/$B$47^(1/3)</f>
        <v/>
      </c>
      <c r="F192" s="15">
        <f>INDEX($C$6:$J$6,1,$B$49)+E192*(INDEX($C$7:$J$7,1,$B$49)+E192*(INDEX($C$8:$J$8,1,$B$49)+E192*(INDEX($C$9:$J$9,1,$B$49)+E192*(INDEX($C$10:$J$10,1,$B$49)+E192*(INDEX($C$11:$J$11,1,$B$49)+E192*(INDEX($C$12:$J$12,1,$B$49)))))))</f>
        <v/>
      </c>
      <c r="G192" s="15">
        <f>INDEX($C$6:$J$6,1,$B$49+1)+E192*(INDEX($C$7:$J$7,1,$B$49+1)+E192*(INDEX($C$8:$J$8,1,$B$49+1)+E192*(INDEX($C$9:$J$9,1,$B$49+1)+E192*(INDEX($C$10:$J$10,1,$B$49+1)+E192*(INDEX($C$11:$J$11,1,$B$49+1)+E192*(INDEX($C$12:$J$12,1,$B$49+1)))))))</f>
        <v/>
      </c>
      <c r="H192" s="18">
        <f>$B$44*(F192+$B$52*(G192-F192))</f>
        <v/>
      </c>
      <c r="I192" s="19">
        <f>H192*$B$45/C192</f>
        <v/>
      </c>
      <c r="J192" s="12">
        <f>0.5*$B$40*C192^2</f>
        <v/>
      </c>
      <c r="K192" s="12">
        <f>$B$24*J192*$B$19</f>
        <v/>
      </c>
      <c r="L192" s="12">
        <f>$B$33^2/(J192*$B$19*PI()*$B$43*$B$25)</f>
        <v/>
      </c>
      <c r="M192" s="19">
        <f>K192+L192</f>
        <v/>
      </c>
      <c r="N192" s="19">
        <f>(I192-M192)*C192/$B$33*60</f>
        <v/>
      </c>
      <c r="O192" s="12">
        <f>DEGREES(ASIN(MIN(1,MAX(-1,(I192-M192)/$B$33))))</f>
        <v/>
      </c>
      <c r="P192" s="19">
        <f>M192*C192/$B$33*60</f>
        <v/>
      </c>
      <c r="Q192" s="12">
        <f>DEGREES(ASIN(MIN(1,MAX(-1,M192/$B$33))))</f>
        <v/>
      </c>
    </row>
    <row r="193">
      <c r="A193" s="36" t="n">
        <v>109</v>
      </c>
      <c r="B193" s="19">
        <f>A193/SQRT($B$39)</f>
        <v/>
      </c>
      <c r="C193" s="12">
        <f>B193/0.5924838</f>
        <v/>
      </c>
      <c r="D193" s="18">
        <f>C193/($B$46*$B$23)</f>
        <v/>
      </c>
      <c r="E193" s="18">
        <f>D193/$B$47^(1/3)</f>
        <v/>
      </c>
      <c r="F193" s="15">
        <f>INDEX($C$6:$J$6,1,$B$49)+E193*(INDEX($C$7:$J$7,1,$B$49)+E193*(INDEX($C$8:$J$8,1,$B$49)+E193*(INDEX($C$9:$J$9,1,$B$49)+E193*(INDEX($C$10:$J$10,1,$B$49)+E193*(INDEX($C$11:$J$11,1,$B$49)+E193*(INDEX($C$12:$J$12,1,$B$49)))))))</f>
        <v/>
      </c>
      <c r="G193" s="15">
        <f>INDEX($C$6:$J$6,1,$B$49+1)+E193*(INDEX($C$7:$J$7,1,$B$49+1)+E193*(INDEX($C$8:$J$8,1,$B$49+1)+E193*(INDEX($C$9:$J$9,1,$B$49+1)+E193*(INDEX($C$10:$J$10,1,$B$49+1)+E193*(INDEX($C$11:$J$11,1,$B$49+1)+E193*(INDEX($C$12:$J$12,1,$B$49+1)))))))</f>
        <v/>
      </c>
      <c r="H193" s="18">
        <f>$B$44*(F193+$B$52*(G193-F193))</f>
        <v/>
      </c>
      <c r="I193" s="19">
        <f>H193*$B$45/C193</f>
        <v/>
      </c>
      <c r="J193" s="12">
        <f>0.5*$B$40*C193^2</f>
        <v/>
      </c>
      <c r="K193" s="12">
        <f>$B$24*J193*$B$19</f>
        <v/>
      </c>
      <c r="L193" s="12">
        <f>$B$33^2/(J193*$B$19*PI()*$B$43*$B$25)</f>
        <v/>
      </c>
      <c r="M193" s="19">
        <f>K193+L193</f>
        <v/>
      </c>
      <c r="N193" s="19">
        <f>(I193-M193)*C193/$B$33*60</f>
        <v/>
      </c>
      <c r="O193" s="12">
        <f>DEGREES(ASIN(MIN(1,MAX(-1,(I193-M193)/$B$33))))</f>
        <v/>
      </c>
      <c r="P193" s="19">
        <f>M193*C193/$B$33*60</f>
        <v/>
      </c>
      <c r="Q193" s="12">
        <f>DEGREES(ASIN(MIN(1,MAX(-1,M193/$B$33))))</f>
        <v/>
      </c>
    </row>
    <row r="194">
      <c r="A194" s="36" t="n">
        <v>109.5</v>
      </c>
      <c r="B194" s="19">
        <f>A194/SQRT($B$39)</f>
        <v/>
      </c>
      <c r="C194" s="12">
        <f>B194/0.5924838</f>
        <v/>
      </c>
      <c r="D194" s="18">
        <f>C194/($B$46*$B$23)</f>
        <v/>
      </c>
      <c r="E194" s="18">
        <f>D194/$B$47^(1/3)</f>
        <v/>
      </c>
      <c r="F194" s="15">
        <f>INDEX($C$6:$J$6,1,$B$49)+E194*(INDEX($C$7:$J$7,1,$B$49)+E194*(INDEX($C$8:$J$8,1,$B$49)+E194*(INDEX($C$9:$J$9,1,$B$49)+E194*(INDEX($C$10:$J$10,1,$B$49)+E194*(INDEX($C$11:$J$11,1,$B$49)+E194*(INDEX($C$12:$J$12,1,$B$49)))))))</f>
        <v/>
      </c>
      <c r="G194" s="15">
        <f>INDEX($C$6:$J$6,1,$B$49+1)+E194*(INDEX($C$7:$J$7,1,$B$49+1)+E194*(INDEX($C$8:$J$8,1,$B$49+1)+E194*(INDEX($C$9:$J$9,1,$B$49+1)+E194*(INDEX($C$10:$J$10,1,$B$49+1)+E194*(INDEX($C$11:$J$11,1,$B$49+1)+E194*(INDEX($C$12:$J$12,1,$B$49+1)))))))</f>
        <v/>
      </c>
      <c r="H194" s="18">
        <f>$B$44*(F194+$B$52*(G194-F194))</f>
        <v/>
      </c>
      <c r="I194" s="19">
        <f>H194*$B$45/C194</f>
        <v/>
      </c>
      <c r="J194" s="12">
        <f>0.5*$B$40*C194^2</f>
        <v/>
      </c>
      <c r="K194" s="12">
        <f>$B$24*J194*$B$19</f>
        <v/>
      </c>
      <c r="L194" s="12">
        <f>$B$33^2/(J194*$B$19*PI()*$B$43*$B$25)</f>
        <v/>
      </c>
      <c r="M194" s="19">
        <f>K194+L194</f>
        <v/>
      </c>
      <c r="N194" s="19">
        <f>(I194-M194)*C194/$B$33*60</f>
        <v/>
      </c>
      <c r="O194" s="12">
        <f>DEGREES(ASIN(MIN(1,MAX(-1,(I194-M194)/$B$33))))</f>
        <v/>
      </c>
      <c r="P194" s="19">
        <f>M194*C194/$B$33*60</f>
        <v/>
      </c>
      <c r="Q194" s="12">
        <f>DEGREES(ASIN(MIN(1,MAX(-1,M194/$B$33))))</f>
        <v/>
      </c>
    </row>
    <row r="195">
      <c r="A195" s="36" t="n">
        <v>110</v>
      </c>
      <c r="B195" s="19">
        <f>A195/SQRT($B$39)</f>
        <v/>
      </c>
      <c r="C195" s="12">
        <f>B195/0.5924838</f>
        <v/>
      </c>
      <c r="D195" s="18">
        <f>C195/($B$46*$B$23)</f>
        <v/>
      </c>
      <c r="E195" s="18">
        <f>D195/$B$47^(1/3)</f>
        <v/>
      </c>
      <c r="F195" s="15">
        <f>INDEX($C$6:$J$6,1,$B$49)+E195*(INDEX($C$7:$J$7,1,$B$49)+E195*(INDEX($C$8:$J$8,1,$B$49)+E195*(INDEX($C$9:$J$9,1,$B$49)+E195*(INDEX($C$10:$J$10,1,$B$49)+E195*(INDEX($C$11:$J$11,1,$B$49)+E195*(INDEX($C$12:$J$12,1,$B$49)))))))</f>
        <v/>
      </c>
      <c r="G195" s="15">
        <f>INDEX($C$6:$J$6,1,$B$49+1)+E195*(INDEX($C$7:$J$7,1,$B$49+1)+E195*(INDEX($C$8:$J$8,1,$B$49+1)+E195*(INDEX($C$9:$J$9,1,$B$49+1)+E195*(INDEX($C$10:$J$10,1,$B$49+1)+E195*(INDEX($C$11:$J$11,1,$B$49+1)+E195*(INDEX($C$12:$J$12,1,$B$49+1)))))))</f>
        <v/>
      </c>
      <c r="H195" s="18">
        <f>$B$44*(F195+$B$52*(G195-F195))</f>
        <v/>
      </c>
      <c r="I195" s="19">
        <f>H195*$B$45/C195</f>
        <v/>
      </c>
      <c r="J195" s="12">
        <f>0.5*$B$40*C195^2</f>
        <v/>
      </c>
      <c r="K195" s="12">
        <f>$B$24*J195*$B$19</f>
        <v/>
      </c>
      <c r="L195" s="12">
        <f>$B$33^2/(J195*$B$19*PI()*$B$43*$B$25)</f>
        <v/>
      </c>
      <c r="M195" s="19">
        <f>K195+L195</f>
        <v/>
      </c>
      <c r="N195" s="19">
        <f>(I195-M195)*C195/$B$33*60</f>
        <v/>
      </c>
      <c r="O195" s="12">
        <f>DEGREES(ASIN(MIN(1,MAX(-1,(I195-M195)/$B$33))))</f>
        <v/>
      </c>
      <c r="P195" s="19">
        <f>M195*C195/$B$33*60</f>
        <v/>
      </c>
      <c r="Q195" s="12">
        <f>DEGREES(ASIN(MIN(1,MAX(-1,M195/$B$33))))</f>
        <v/>
      </c>
    </row>
    <row r="196">
      <c r="A196" s="36" t="n">
        <v>110.5</v>
      </c>
      <c r="B196" s="19">
        <f>A196/SQRT($B$39)</f>
        <v/>
      </c>
      <c r="C196" s="12">
        <f>B196/0.5924838</f>
        <v/>
      </c>
      <c r="D196" s="18">
        <f>C196/($B$46*$B$23)</f>
        <v/>
      </c>
      <c r="E196" s="18">
        <f>D196/$B$47^(1/3)</f>
        <v/>
      </c>
      <c r="F196" s="15">
        <f>INDEX($C$6:$J$6,1,$B$49)+E196*(INDEX($C$7:$J$7,1,$B$49)+E196*(INDEX($C$8:$J$8,1,$B$49)+E196*(INDEX($C$9:$J$9,1,$B$49)+E196*(INDEX($C$10:$J$10,1,$B$49)+E196*(INDEX($C$11:$J$11,1,$B$49)+E196*(INDEX($C$12:$J$12,1,$B$49)))))))</f>
        <v/>
      </c>
      <c r="G196" s="15">
        <f>INDEX($C$6:$J$6,1,$B$49+1)+E196*(INDEX($C$7:$J$7,1,$B$49+1)+E196*(INDEX($C$8:$J$8,1,$B$49+1)+E196*(INDEX($C$9:$J$9,1,$B$49+1)+E196*(INDEX($C$10:$J$10,1,$B$49+1)+E196*(INDEX($C$11:$J$11,1,$B$49+1)+E196*(INDEX($C$12:$J$12,1,$B$49+1)))))))</f>
        <v/>
      </c>
      <c r="H196" s="18">
        <f>$B$44*(F196+$B$52*(G196-F196))</f>
        <v/>
      </c>
      <c r="I196" s="19">
        <f>H196*$B$45/C196</f>
        <v/>
      </c>
      <c r="J196" s="12">
        <f>0.5*$B$40*C196^2</f>
        <v/>
      </c>
      <c r="K196" s="12">
        <f>$B$24*J196*$B$19</f>
        <v/>
      </c>
      <c r="L196" s="12">
        <f>$B$33^2/(J196*$B$19*PI()*$B$43*$B$25)</f>
        <v/>
      </c>
      <c r="M196" s="19">
        <f>K196+L196</f>
        <v/>
      </c>
      <c r="N196" s="19">
        <f>(I196-M196)*C196/$B$33*60</f>
        <v/>
      </c>
      <c r="O196" s="12">
        <f>DEGREES(ASIN(MIN(1,MAX(-1,(I196-M196)/$B$33))))</f>
        <v/>
      </c>
      <c r="P196" s="19">
        <f>M196*C196/$B$33*60</f>
        <v/>
      </c>
      <c r="Q196" s="12">
        <f>DEGREES(ASIN(MIN(1,MAX(-1,M196/$B$33))))</f>
        <v/>
      </c>
    </row>
    <row r="197">
      <c r="A197" s="36" t="n">
        <v>111</v>
      </c>
      <c r="B197" s="19">
        <f>A197/SQRT($B$39)</f>
        <v/>
      </c>
      <c r="C197" s="12">
        <f>B197/0.5924838</f>
        <v/>
      </c>
      <c r="D197" s="18">
        <f>C197/($B$46*$B$23)</f>
        <v/>
      </c>
      <c r="E197" s="18">
        <f>D197/$B$47^(1/3)</f>
        <v/>
      </c>
      <c r="F197" s="15">
        <f>INDEX($C$6:$J$6,1,$B$49)+E197*(INDEX($C$7:$J$7,1,$B$49)+E197*(INDEX($C$8:$J$8,1,$B$49)+E197*(INDEX($C$9:$J$9,1,$B$49)+E197*(INDEX($C$10:$J$10,1,$B$49)+E197*(INDEX($C$11:$J$11,1,$B$49)+E197*(INDEX($C$12:$J$12,1,$B$49)))))))</f>
        <v/>
      </c>
      <c r="G197" s="15">
        <f>INDEX($C$6:$J$6,1,$B$49+1)+E197*(INDEX($C$7:$J$7,1,$B$49+1)+E197*(INDEX($C$8:$J$8,1,$B$49+1)+E197*(INDEX($C$9:$J$9,1,$B$49+1)+E197*(INDEX($C$10:$J$10,1,$B$49+1)+E197*(INDEX($C$11:$J$11,1,$B$49+1)+E197*(INDEX($C$12:$J$12,1,$B$49+1)))))))</f>
        <v/>
      </c>
      <c r="H197" s="18">
        <f>$B$44*(F197+$B$52*(G197-F197))</f>
        <v/>
      </c>
      <c r="I197" s="19">
        <f>H197*$B$45/C197</f>
        <v/>
      </c>
      <c r="J197" s="12">
        <f>0.5*$B$40*C197^2</f>
        <v/>
      </c>
      <c r="K197" s="12">
        <f>$B$24*J197*$B$19</f>
        <v/>
      </c>
      <c r="L197" s="12">
        <f>$B$33^2/(J197*$B$19*PI()*$B$43*$B$25)</f>
        <v/>
      </c>
      <c r="M197" s="19">
        <f>K197+L197</f>
        <v/>
      </c>
      <c r="N197" s="19">
        <f>(I197-M197)*C197/$B$33*60</f>
        <v/>
      </c>
      <c r="O197" s="12">
        <f>DEGREES(ASIN(MIN(1,MAX(-1,(I197-M197)/$B$33))))</f>
        <v/>
      </c>
      <c r="P197" s="19">
        <f>M197*C197/$B$33*60</f>
        <v/>
      </c>
      <c r="Q197" s="12">
        <f>DEGREES(ASIN(MIN(1,MAX(-1,M197/$B$33))))</f>
        <v/>
      </c>
    </row>
    <row r="198">
      <c r="A198" s="36" t="n">
        <v>111.5</v>
      </c>
      <c r="B198" s="19">
        <f>A198/SQRT($B$39)</f>
        <v/>
      </c>
      <c r="C198" s="12">
        <f>B198/0.5924838</f>
        <v/>
      </c>
      <c r="D198" s="18">
        <f>C198/($B$46*$B$23)</f>
        <v/>
      </c>
      <c r="E198" s="18">
        <f>D198/$B$47^(1/3)</f>
        <v/>
      </c>
      <c r="F198" s="15">
        <f>INDEX($C$6:$J$6,1,$B$49)+E198*(INDEX($C$7:$J$7,1,$B$49)+E198*(INDEX($C$8:$J$8,1,$B$49)+E198*(INDEX($C$9:$J$9,1,$B$49)+E198*(INDEX($C$10:$J$10,1,$B$49)+E198*(INDEX($C$11:$J$11,1,$B$49)+E198*(INDEX($C$12:$J$12,1,$B$49)))))))</f>
        <v/>
      </c>
      <c r="G198" s="15">
        <f>INDEX($C$6:$J$6,1,$B$49+1)+E198*(INDEX($C$7:$J$7,1,$B$49+1)+E198*(INDEX($C$8:$J$8,1,$B$49+1)+E198*(INDEX($C$9:$J$9,1,$B$49+1)+E198*(INDEX($C$10:$J$10,1,$B$49+1)+E198*(INDEX($C$11:$J$11,1,$B$49+1)+E198*(INDEX($C$12:$J$12,1,$B$49+1)))))))</f>
        <v/>
      </c>
      <c r="H198" s="18">
        <f>$B$44*(F198+$B$52*(G198-F198))</f>
        <v/>
      </c>
      <c r="I198" s="19">
        <f>H198*$B$45/C198</f>
        <v/>
      </c>
      <c r="J198" s="12">
        <f>0.5*$B$40*C198^2</f>
        <v/>
      </c>
      <c r="K198" s="12">
        <f>$B$24*J198*$B$19</f>
        <v/>
      </c>
      <c r="L198" s="12">
        <f>$B$33^2/(J198*$B$19*PI()*$B$43*$B$25)</f>
        <v/>
      </c>
      <c r="M198" s="19">
        <f>K198+L198</f>
        <v/>
      </c>
      <c r="N198" s="19">
        <f>(I198-M198)*C198/$B$33*60</f>
        <v/>
      </c>
      <c r="O198" s="12">
        <f>DEGREES(ASIN(MIN(1,MAX(-1,(I198-M198)/$B$33))))</f>
        <v/>
      </c>
      <c r="P198" s="19">
        <f>M198*C198/$B$33*60</f>
        <v/>
      </c>
      <c r="Q198" s="12">
        <f>DEGREES(ASIN(MIN(1,MAX(-1,M198/$B$33))))</f>
        <v/>
      </c>
    </row>
    <row r="199">
      <c r="A199" s="36" t="n">
        <v>112</v>
      </c>
      <c r="B199" s="19">
        <f>A199/SQRT($B$39)</f>
        <v/>
      </c>
      <c r="C199" s="12">
        <f>B199/0.5924838</f>
        <v/>
      </c>
      <c r="D199" s="18">
        <f>C199/($B$46*$B$23)</f>
        <v/>
      </c>
      <c r="E199" s="18">
        <f>D199/$B$47^(1/3)</f>
        <v/>
      </c>
      <c r="F199" s="15">
        <f>INDEX($C$6:$J$6,1,$B$49)+E199*(INDEX($C$7:$J$7,1,$B$49)+E199*(INDEX($C$8:$J$8,1,$B$49)+E199*(INDEX($C$9:$J$9,1,$B$49)+E199*(INDEX($C$10:$J$10,1,$B$49)+E199*(INDEX($C$11:$J$11,1,$B$49)+E199*(INDEX($C$12:$J$12,1,$B$49)))))))</f>
        <v/>
      </c>
      <c r="G199" s="15">
        <f>INDEX($C$6:$J$6,1,$B$49+1)+E199*(INDEX($C$7:$J$7,1,$B$49+1)+E199*(INDEX($C$8:$J$8,1,$B$49+1)+E199*(INDEX($C$9:$J$9,1,$B$49+1)+E199*(INDEX($C$10:$J$10,1,$B$49+1)+E199*(INDEX($C$11:$J$11,1,$B$49+1)+E199*(INDEX($C$12:$J$12,1,$B$49+1)))))))</f>
        <v/>
      </c>
      <c r="H199" s="18">
        <f>$B$44*(F199+$B$52*(G199-F199))</f>
        <v/>
      </c>
      <c r="I199" s="19">
        <f>H199*$B$45/C199</f>
        <v/>
      </c>
      <c r="J199" s="12">
        <f>0.5*$B$40*C199^2</f>
        <v/>
      </c>
      <c r="K199" s="12">
        <f>$B$24*J199*$B$19</f>
        <v/>
      </c>
      <c r="L199" s="12">
        <f>$B$33^2/(J199*$B$19*PI()*$B$43*$B$25)</f>
        <v/>
      </c>
      <c r="M199" s="19">
        <f>K199+L199</f>
        <v/>
      </c>
      <c r="N199" s="19">
        <f>(I199-M199)*C199/$B$33*60</f>
        <v/>
      </c>
      <c r="O199" s="12">
        <f>DEGREES(ASIN(MIN(1,MAX(-1,(I199-M199)/$B$33))))</f>
        <v/>
      </c>
      <c r="P199" s="19">
        <f>M199*C199/$B$33*60</f>
        <v/>
      </c>
      <c r="Q199" s="12">
        <f>DEGREES(ASIN(MIN(1,MAX(-1,M199/$B$33))))</f>
        <v/>
      </c>
    </row>
    <row r="200">
      <c r="A200" s="36" t="n">
        <v>112.5</v>
      </c>
      <c r="B200" s="19">
        <f>A200/SQRT($B$39)</f>
        <v/>
      </c>
      <c r="C200" s="12">
        <f>B200/0.5924838</f>
        <v/>
      </c>
      <c r="D200" s="18">
        <f>C200/($B$46*$B$23)</f>
        <v/>
      </c>
      <c r="E200" s="18">
        <f>D200/$B$47^(1/3)</f>
        <v/>
      </c>
      <c r="F200" s="15">
        <f>INDEX($C$6:$J$6,1,$B$49)+E200*(INDEX($C$7:$J$7,1,$B$49)+E200*(INDEX($C$8:$J$8,1,$B$49)+E200*(INDEX($C$9:$J$9,1,$B$49)+E200*(INDEX($C$10:$J$10,1,$B$49)+E200*(INDEX($C$11:$J$11,1,$B$49)+E200*(INDEX($C$12:$J$12,1,$B$49)))))))</f>
        <v/>
      </c>
      <c r="G200" s="15">
        <f>INDEX($C$6:$J$6,1,$B$49+1)+E200*(INDEX($C$7:$J$7,1,$B$49+1)+E200*(INDEX($C$8:$J$8,1,$B$49+1)+E200*(INDEX($C$9:$J$9,1,$B$49+1)+E200*(INDEX($C$10:$J$10,1,$B$49+1)+E200*(INDEX($C$11:$J$11,1,$B$49+1)+E200*(INDEX($C$12:$J$12,1,$B$49+1)))))))</f>
        <v/>
      </c>
      <c r="H200" s="18">
        <f>$B$44*(F200+$B$52*(G200-F200))</f>
        <v/>
      </c>
      <c r="I200" s="19">
        <f>H200*$B$45/C200</f>
        <v/>
      </c>
      <c r="J200" s="12">
        <f>0.5*$B$40*C200^2</f>
        <v/>
      </c>
      <c r="K200" s="12">
        <f>$B$24*J200*$B$19</f>
        <v/>
      </c>
      <c r="L200" s="12">
        <f>$B$33^2/(J200*$B$19*PI()*$B$43*$B$25)</f>
        <v/>
      </c>
      <c r="M200" s="19">
        <f>K200+L200</f>
        <v/>
      </c>
      <c r="N200" s="19">
        <f>(I200-M200)*C200/$B$33*60</f>
        <v/>
      </c>
      <c r="O200" s="12">
        <f>DEGREES(ASIN(MIN(1,MAX(-1,(I200-M200)/$B$33))))</f>
        <v/>
      </c>
      <c r="P200" s="19">
        <f>M200*C200/$B$33*60</f>
        <v/>
      </c>
      <c r="Q200" s="12">
        <f>DEGREES(ASIN(MIN(1,MAX(-1,M200/$B$33))))</f>
        <v/>
      </c>
    </row>
    <row r="201">
      <c r="A201" s="36" t="n">
        <v>113</v>
      </c>
      <c r="B201" s="19">
        <f>A201/SQRT($B$39)</f>
        <v/>
      </c>
      <c r="C201" s="12">
        <f>B201/0.5924838</f>
        <v/>
      </c>
      <c r="D201" s="18">
        <f>C201/($B$46*$B$23)</f>
        <v/>
      </c>
      <c r="E201" s="18">
        <f>D201/$B$47^(1/3)</f>
        <v/>
      </c>
      <c r="F201" s="15">
        <f>INDEX($C$6:$J$6,1,$B$49)+E201*(INDEX($C$7:$J$7,1,$B$49)+E201*(INDEX($C$8:$J$8,1,$B$49)+E201*(INDEX($C$9:$J$9,1,$B$49)+E201*(INDEX($C$10:$J$10,1,$B$49)+E201*(INDEX($C$11:$J$11,1,$B$49)+E201*(INDEX($C$12:$J$12,1,$B$49)))))))</f>
        <v/>
      </c>
      <c r="G201" s="15">
        <f>INDEX($C$6:$J$6,1,$B$49+1)+E201*(INDEX($C$7:$J$7,1,$B$49+1)+E201*(INDEX($C$8:$J$8,1,$B$49+1)+E201*(INDEX($C$9:$J$9,1,$B$49+1)+E201*(INDEX($C$10:$J$10,1,$B$49+1)+E201*(INDEX($C$11:$J$11,1,$B$49+1)+E201*(INDEX($C$12:$J$12,1,$B$49+1)))))))</f>
        <v/>
      </c>
      <c r="H201" s="18">
        <f>$B$44*(F201+$B$52*(G201-F201))</f>
        <v/>
      </c>
      <c r="I201" s="19">
        <f>H201*$B$45/C201</f>
        <v/>
      </c>
      <c r="J201" s="12">
        <f>0.5*$B$40*C201^2</f>
        <v/>
      </c>
      <c r="K201" s="12">
        <f>$B$24*J201*$B$19</f>
        <v/>
      </c>
      <c r="L201" s="12">
        <f>$B$33^2/(J201*$B$19*PI()*$B$43*$B$25)</f>
        <v/>
      </c>
      <c r="M201" s="19">
        <f>K201+L201</f>
        <v/>
      </c>
      <c r="N201" s="19">
        <f>(I201-M201)*C201/$B$33*60</f>
        <v/>
      </c>
      <c r="O201" s="12">
        <f>DEGREES(ASIN(MIN(1,MAX(-1,(I201-M201)/$B$33))))</f>
        <v/>
      </c>
      <c r="P201" s="19">
        <f>M201*C201/$B$33*60</f>
        <v/>
      </c>
      <c r="Q201" s="12">
        <f>DEGREES(ASIN(MIN(1,MAX(-1,M201/$B$33))))</f>
        <v/>
      </c>
    </row>
    <row r="202">
      <c r="A202" s="36" t="n">
        <v>113.5</v>
      </c>
      <c r="B202" s="19">
        <f>A202/SQRT($B$39)</f>
        <v/>
      </c>
      <c r="C202" s="12">
        <f>B202/0.5924838</f>
        <v/>
      </c>
      <c r="D202" s="18">
        <f>C202/($B$46*$B$23)</f>
        <v/>
      </c>
      <c r="E202" s="18">
        <f>D202/$B$47^(1/3)</f>
        <v/>
      </c>
      <c r="F202" s="15">
        <f>INDEX($C$6:$J$6,1,$B$49)+E202*(INDEX($C$7:$J$7,1,$B$49)+E202*(INDEX($C$8:$J$8,1,$B$49)+E202*(INDEX($C$9:$J$9,1,$B$49)+E202*(INDEX($C$10:$J$10,1,$B$49)+E202*(INDEX($C$11:$J$11,1,$B$49)+E202*(INDEX($C$12:$J$12,1,$B$49)))))))</f>
        <v/>
      </c>
      <c r="G202" s="15">
        <f>INDEX($C$6:$J$6,1,$B$49+1)+E202*(INDEX($C$7:$J$7,1,$B$49+1)+E202*(INDEX($C$8:$J$8,1,$B$49+1)+E202*(INDEX($C$9:$J$9,1,$B$49+1)+E202*(INDEX($C$10:$J$10,1,$B$49+1)+E202*(INDEX($C$11:$J$11,1,$B$49+1)+E202*(INDEX($C$12:$J$12,1,$B$49+1)))))))</f>
        <v/>
      </c>
      <c r="H202" s="18">
        <f>$B$44*(F202+$B$52*(G202-F202))</f>
        <v/>
      </c>
      <c r="I202" s="19">
        <f>H202*$B$45/C202</f>
        <v/>
      </c>
      <c r="J202" s="12">
        <f>0.5*$B$40*C202^2</f>
        <v/>
      </c>
      <c r="K202" s="12">
        <f>$B$24*J202*$B$19</f>
        <v/>
      </c>
      <c r="L202" s="12">
        <f>$B$33^2/(J202*$B$19*PI()*$B$43*$B$25)</f>
        <v/>
      </c>
      <c r="M202" s="19">
        <f>K202+L202</f>
        <v/>
      </c>
      <c r="N202" s="19">
        <f>(I202-M202)*C202/$B$33*60</f>
        <v/>
      </c>
      <c r="O202" s="12">
        <f>DEGREES(ASIN(MIN(1,MAX(-1,(I202-M202)/$B$33))))</f>
        <v/>
      </c>
      <c r="P202" s="19">
        <f>M202*C202/$B$33*60</f>
        <v/>
      </c>
      <c r="Q202" s="12">
        <f>DEGREES(ASIN(MIN(1,MAX(-1,M202/$B$33))))</f>
        <v/>
      </c>
    </row>
    <row r="203">
      <c r="A203" s="36" t="n">
        <v>114</v>
      </c>
      <c r="B203" s="19">
        <f>A203/SQRT($B$39)</f>
        <v/>
      </c>
      <c r="C203" s="12">
        <f>B203/0.5924838</f>
        <v/>
      </c>
      <c r="D203" s="18">
        <f>C203/($B$46*$B$23)</f>
        <v/>
      </c>
      <c r="E203" s="18">
        <f>D203/$B$47^(1/3)</f>
        <v/>
      </c>
      <c r="F203" s="15">
        <f>INDEX($C$6:$J$6,1,$B$49)+E203*(INDEX($C$7:$J$7,1,$B$49)+E203*(INDEX($C$8:$J$8,1,$B$49)+E203*(INDEX($C$9:$J$9,1,$B$49)+E203*(INDEX($C$10:$J$10,1,$B$49)+E203*(INDEX($C$11:$J$11,1,$B$49)+E203*(INDEX($C$12:$J$12,1,$B$49)))))))</f>
        <v/>
      </c>
      <c r="G203" s="15">
        <f>INDEX($C$6:$J$6,1,$B$49+1)+E203*(INDEX($C$7:$J$7,1,$B$49+1)+E203*(INDEX($C$8:$J$8,1,$B$49+1)+E203*(INDEX($C$9:$J$9,1,$B$49+1)+E203*(INDEX($C$10:$J$10,1,$B$49+1)+E203*(INDEX($C$11:$J$11,1,$B$49+1)+E203*(INDEX($C$12:$J$12,1,$B$49+1)))))))</f>
        <v/>
      </c>
      <c r="H203" s="18">
        <f>$B$44*(F203+$B$52*(G203-F203))</f>
        <v/>
      </c>
      <c r="I203" s="19">
        <f>H203*$B$45/C203</f>
        <v/>
      </c>
      <c r="J203" s="12">
        <f>0.5*$B$40*C203^2</f>
        <v/>
      </c>
      <c r="K203" s="12">
        <f>$B$24*J203*$B$19</f>
        <v/>
      </c>
      <c r="L203" s="12">
        <f>$B$33^2/(J203*$B$19*PI()*$B$43*$B$25)</f>
        <v/>
      </c>
      <c r="M203" s="19">
        <f>K203+L203</f>
        <v/>
      </c>
      <c r="N203" s="19">
        <f>(I203-M203)*C203/$B$33*60</f>
        <v/>
      </c>
      <c r="O203" s="12">
        <f>DEGREES(ASIN(MIN(1,MAX(-1,(I203-M203)/$B$33))))</f>
        <v/>
      </c>
      <c r="P203" s="19">
        <f>M203*C203/$B$33*60</f>
        <v/>
      </c>
      <c r="Q203" s="12">
        <f>DEGREES(ASIN(MIN(1,MAX(-1,M203/$B$33))))</f>
        <v/>
      </c>
    </row>
    <row r="204">
      <c r="A204" s="36" t="n">
        <v>114.5</v>
      </c>
      <c r="B204" s="19">
        <f>A204/SQRT($B$39)</f>
        <v/>
      </c>
      <c r="C204" s="12">
        <f>B204/0.5924838</f>
        <v/>
      </c>
      <c r="D204" s="18">
        <f>C204/($B$46*$B$23)</f>
        <v/>
      </c>
      <c r="E204" s="18">
        <f>D204/$B$47^(1/3)</f>
        <v/>
      </c>
      <c r="F204" s="15">
        <f>INDEX($C$6:$J$6,1,$B$49)+E204*(INDEX($C$7:$J$7,1,$B$49)+E204*(INDEX($C$8:$J$8,1,$B$49)+E204*(INDEX($C$9:$J$9,1,$B$49)+E204*(INDEX($C$10:$J$10,1,$B$49)+E204*(INDEX($C$11:$J$11,1,$B$49)+E204*(INDEX($C$12:$J$12,1,$B$49)))))))</f>
        <v/>
      </c>
      <c r="G204" s="15">
        <f>INDEX($C$6:$J$6,1,$B$49+1)+E204*(INDEX($C$7:$J$7,1,$B$49+1)+E204*(INDEX($C$8:$J$8,1,$B$49+1)+E204*(INDEX($C$9:$J$9,1,$B$49+1)+E204*(INDEX($C$10:$J$10,1,$B$49+1)+E204*(INDEX($C$11:$J$11,1,$B$49+1)+E204*(INDEX($C$12:$J$12,1,$B$49+1)))))))</f>
        <v/>
      </c>
      <c r="H204" s="18">
        <f>$B$44*(F204+$B$52*(G204-F204))</f>
        <v/>
      </c>
      <c r="I204" s="19">
        <f>H204*$B$45/C204</f>
        <v/>
      </c>
      <c r="J204" s="12">
        <f>0.5*$B$40*C204^2</f>
        <v/>
      </c>
      <c r="K204" s="12">
        <f>$B$24*J204*$B$19</f>
        <v/>
      </c>
      <c r="L204" s="12">
        <f>$B$33^2/(J204*$B$19*PI()*$B$43*$B$25)</f>
        <v/>
      </c>
      <c r="M204" s="19">
        <f>K204+L204</f>
        <v/>
      </c>
      <c r="N204" s="19">
        <f>(I204-M204)*C204/$B$33*60</f>
        <v/>
      </c>
      <c r="O204" s="12">
        <f>DEGREES(ASIN(MIN(1,MAX(-1,(I204-M204)/$B$33))))</f>
        <v/>
      </c>
      <c r="P204" s="19">
        <f>M204*C204/$B$33*60</f>
        <v/>
      </c>
      <c r="Q204" s="12">
        <f>DEGREES(ASIN(MIN(1,MAX(-1,M204/$B$33))))</f>
        <v/>
      </c>
    </row>
    <row r="205">
      <c r="A205" s="36" t="n">
        <v>115</v>
      </c>
      <c r="B205" s="19">
        <f>A205/SQRT($B$39)</f>
        <v/>
      </c>
      <c r="C205" s="12">
        <f>B205/0.5924838</f>
        <v/>
      </c>
      <c r="D205" s="18">
        <f>C205/($B$46*$B$23)</f>
        <v/>
      </c>
      <c r="E205" s="18">
        <f>D205/$B$47^(1/3)</f>
        <v/>
      </c>
      <c r="F205" s="15">
        <f>INDEX($C$6:$J$6,1,$B$49)+E205*(INDEX($C$7:$J$7,1,$B$49)+E205*(INDEX($C$8:$J$8,1,$B$49)+E205*(INDEX($C$9:$J$9,1,$B$49)+E205*(INDEX($C$10:$J$10,1,$B$49)+E205*(INDEX($C$11:$J$11,1,$B$49)+E205*(INDEX($C$12:$J$12,1,$B$49)))))))</f>
        <v/>
      </c>
      <c r="G205" s="15">
        <f>INDEX($C$6:$J$6,1,$B$49+1)+E205*(INDEX($C$7:$J$7,1,$B$49+1)+E205*(INDEX($C$8:$J$8,1,$B$49+1)+E205*(INDEX($C$9:$J$9,1,$B$49+1)+E205*(INDEX($C$10:$J$10,1,$B$49+1)+E205*(INDEX($C$11:$J$11,1,$B$49+1)+E205*(INDEX($C$12:$J$12,1,$B$49+1)))))))</f>
        <v/>
      </c>
      <c r="H205" s="18">
        <f>$B$44*(F205+$B$52*(G205-F205))</f>
        <v/>
      </c>
      <c r="I205" s="19">
        <f>H205*$B$45/C205</f>
        <v/>
      </c>
      <c r="J205" s="12">
        <f>0.5*$B$40*C205^2</f>
        <v/>
      </c>
      <c r="K205" s="12">
        <f>$B$24*J205*$B$19</f>
        <v/>
      </c>
      <c r="L205" s="12">
        <f>$B$33^2/(J205*$B$19*PI()*$B$43*$B$25)</f>
        <v/>
      </c>
      <c r="M205" s="19">
        <f>K205+L205</f>
        <v/>
      </c>
      <c r="N205" s="19">
        <f>(I205-M205)*C205/$B$33*60</f>
        <v/>
      </c>
      <c r="O205" s="12">
        <f>DEGREES(ASIN(MIN(1,MAX(-1,(I205-M205)/$B$33))))</f>
        <v/>
      </c>
      <c r="P205" s="19">
        <f>M205*C205/$B$33*60</f>
        <v/>
      </c>
      <c r="Q205" s="12">
        <f>DEGREES(ASIN(MIN(1,MAX(-1,M205/$B$33))))</f>
        <v/>
      </c>
    </row>
    <row r="206">
      <c r="A206" s="36" t="n">
        <v>115.5</v>
      </c>
      <c r="B206" s="19">
        <f>A206/SQRT($B$39)</f>
        <v/>
      </c>
      <c r="C206" s="12">
        <f>B206/0.5924838</f>
        <v/>
      </c>
      <c r="D206" s="18">
        <f>C206/($B$46*$B$23)</f>
        <v/>
      </c>
      <c r="E206" s="18">
        <f>D206/$B$47^(1/3)</f>
        <v/>
      </c>
      <c r="F206" s="15">
        <f>INDEX($C$6:$J$6,1,$B$49)+E206*(INDEX($C$7:$J$7,1,$B$49)+E206*(INDEX($C$8:$J$8,1,$B$49)+E206*(INDEX($C$9:$J$9,1,$B$49)+E206*(INDEX($C$10:$J$10,1,$B$49)+E206*(INDEX($C$11:$J$11,1,$B$49)+E206*(INDEX($C$12:$J$12,1,$B$49)))))))</f>
        <v/>
      </c>
      <c r="G206" s="15">
        <f>INDEX($C$6:$J$6,1,$B$49+1)+E206*(INDEX($C$7:$J$7,1,$B$49+1)+E206*(INDEX($C$8:$J$8,1,$B$49+1)+E206*(INDEX($C$9:$J$9,1,$B$49+1)+E206*(INDEX($C$10:$J$10,1,$B$49+1)+E206*(INDEX($C$11:$J$11,1,$B$49+1)+E206*(INDEX($C$12:$J$12,1,$B$49+1)))))))</f>
        <v/>
      </c>
      <c r="H206" s="18">
        <f>$B$44*(F206+$B$52*(G206-F206))</f>
        <v/>
      </c>
      <c r="I206" s="19">
        <f>H206*$B$45/C206</f>
        <v/>
      </c>
      <c r="J206" s="12">
        <f>0.5*$B$40*C206^2</f>
        <v/>
      </c>
      <c r="K206" s="12">
        <f>$B$24*J206*$B$19</f>
        <v/>
      </c>
      <c r="L206" s="12">
        <f>$B$33^2/(J206*$B$19*PI()*$B$43*$B$25)</f>
        <v/>
      </c>
      <c r="M206" s="19">
        <f>K206+L206</f>
        <v/>
      </c>
      <c r="N206" s="19">
        <f>(I206-M206)*C206/$B$33*60</f>
        <v/>
      </c>
      <c r="O206" s="12">
        <f>DEGREES(ASIN(MIN(1,MAX(-1,(I206-M206)/$B$33))))</f>
        <v/>
      </c>
      <c r="P206" s="19">
        <f>M206*C206/$B$33*60</f>
        <v/>
      </c>
      <c r="Q206" s="12">
        <f>DEGREES(ASIN(MIN(1,MAX(-1,M206/$B$33))))</f>
        <v/>
      </c>
    </row>
    <row r="207">
      <c r="A207" s="36" t="n">
        <v>116</v>
      </c>
      <c r="B207" s="19">
        <f>A207/SQRT($B$39)</f>
        <v/>
      </c>
      <c r="C207" s="12">
        <f>B207/0.5924838</f>
        <v/>
      </c>
      <c r="D207" s="18">
        <f>C207/($B$46*$B$23)</f>
        <v/>
      </c>
      <c r="E207" s="18">
        <f>D207/$B$47^(1/3)</f>
        <v/>
      </c>
      <c r="F207" s="15">
        <f>INDEX($C$6:$J$6,1,$B$49)+E207*(INDEX($C$7:$J$7,1,$B$49)+E207*(INDEX($C$8:$J$8,1,$B$49)+E207*(INDEX($C$9:$J$9,1,$B$49)+E207*(INDEX($C$10:$J$10,1,$B$49)+E207*(INDEX($C$11:$J$11,1,$B$49)+E207*(INDEX($C$12:$J$12,1,$B$49)))))))</f>
        <v/>
      </c>
      <c r="G207" s="15">
        <f>INDEX($C$6:$J$6,1,$B$49+1)+E207*(INDEX($C$7:$J$7,1,$B$49+1)+E207*(INDEX($C$8:$J$8,1,$B$49+1)+E207*(INDEX($C$9:$J$9,1,$B$49+1)+E207*(INDEX($C$10:$J$10,1,$B$49+1)+E207*(INDEX($C$11:$J$11,1,$B$49+1)+E207*(INDEX($C$12:$J$12,1,$B$49+1)))))))</f>
        <v/>
      </c>
      <c r="H207" s="18">
        <f>$B$44*(F207+$B$52*(G207-F207))</f>
        <v/>
      </c>
      <c r="I207" s="19">
        <f>H207*$B$45/C207</f>
        <v/>
      </c>
      <c r="J207" s="12">
        <f>0.5*$B$40*C207^2</f>
        <v/>
      </c>
      <c r="K207" s="12">
        <f>$B$24*J207*$B$19</f>
        <v/>
      </c>
      <c r="L207" s="12">
        <f>$B$33^2/(J207*$B$19*PI()*$B$43*$B$25)</f>
        <v/>
      </c>
      <c r="M207" s="19">
        <f>K207+L207</f>
        <v/>
      </c>
      <c r="N207" s="19">
        <f>(I207-M207)*C207/$B$33*60</f>
        <v/>
      </c>
      <c r="O207" s="12">
        <f>DEGREES(ASIN(MIN(1,MAX(-1,(I207-M207)/$B$33))))</f>
        <v/>
      </c>
      <c r="P207" s="19">
        <f>M207*C207/$B$33*60</f>
        <v/>
      </c>
      <c r="Q207" s="12">
        <f>DEGREES(ASIN(MIN(1,MAX(-1,M207/$B$33))))</f>
        <v/>
      </c>
    </row>
    <row r="208">
      <c r="A208" s="36" t="n">
        <v>116.5</v>
      </c>
      <c r="B208" s="19">
        <f>A208/SQRT($B$39)</f>
        <v/>
      </c>
      <c r="C208" s="12">
        <f>B208/0.5924838</f>
        <v/>
      </c>
      <c r="D208" s="18">
        <f>C208/($B$46*$B$23)</f>
        <v/>
      </c>
      <c r="E208" s="18">
        <f>D208/$B$47^(1/3)</f>
        <v/>
      </c>
      <c r="F208" s="15">
        <f>INDEX($C$6:$J$6,1,$B$49)+E208*(INDEX($C$7:$J$7,1,$B$49)+E208*(INDEX($C$8:$J$8,1,$B$49)+E208*(INDEX($C$9:$J$9,1,$B$49)+E208*(INDEX($C$10:$J$10,1,$B$49)+E208*(INDEX($C$11:$J$11,1,$B$49)+E208*(INDEX($C$12:$J$12,1,$B$49)))))))</f>
        <v/>
      </c>
      <c r="G208" s="15">
        <f>INDEX($C$6:$J$6,1,$B$49+1)+E208*(INDEX($C$7:$J$7,1,$B$49+1)+E208*(INDEX($C$8:$J$8,1,$B$49+1)+E208*(INDEX($C$9:$J$9,1,$B$49+1)+E208*(INDEX($C$10:$J$10,1,$B$49+1)+E208*(INDEX($C$11:$J$11,1,$B$49+1)+E208*(INDEX($C$12:$J$12,1,$B$49+1)))))))</f>
        <v/>
      </c>
      <c r="H208" s="18">
        <f>$B$44*(F208+$B$52*(G208-F208))</f>
        <v/>
      </c>
      <c r="I208" s="19">
        <f>H208*$B$45/C208</f>
        <v/>
      </c>
      <c r="J208" s="12">
        <f>0.5*$B$40*C208^2</f>
        <v/>
      </c>
      <c r="K208" s="12">
        <f>$B$24*J208*$B$19</f>
        <v/>
      </c>
      <c r="L208" s="12">
        <f>$B$33^2/(J208*$B$19*PI()*$B$43*$B$25)</f>
        <v/>
      </c>
      <c r="M208" s="19">
        <f>K208+L208</f>
        <v/>
      </c>
      <c r="N208" s="19">
        <f>(I208-M208)*C208/$B$33*60</f>
        <v/>
      </c>
      <c r="O208" s="12">
        <f>DEGREES(ASIN(MIN(1,MAX(-1,(I208-M208)/$B$33))))</f>
        <v/>
      </c>
      <c r="P208" s="19">
        <f>M208*C208/$B$33*60</f>
        <v/>
      </c>
      <c r="Q208" s="12">
        <f>DEGREES(ASIN(MIN(1,MAX(-1,M208/$B$33))))</f>
        <v/>
      </c>
    </row>
    <row r="209">
      <c r="A209" s="36" t="n">
        <v>117</v>
      </c>
      <c r="B209" s="19">
        <f>A209/SQRT($B$39)</f>
        <v/>
      </c>
      <c r="C209" s="12">
        <f>B209/0.5924838</f>
        <v/>
      </c>
      <c r="D209" s="18">
        <f>C209/($B$46*$B$23)</f>
        <v/>
      </c>
      <c r="E209" s="18">
        <f>D209/$B$47^(1/3)</f>
        <v/>
      </c>
      <c r="F209" s="15">
        <f>INDEX($C$6:$J$6,1,$B$49)+E209*(INDEX($C$7:$J$7,1,$B$49)+E209*(INDEX($C$8:$J$8,1,$B$49)+E209*(INDEX($C$9:$J$9,1,$B$49)+E209*(INDEX($C$10:$J$10,1,$B$49)+E209*(INDEX($C$11:$J$11,1,$B$49)+E209*(INDEX($C$12:$J$12,1,$B$49)))))))</f>
        <v/>
      </c>
      <c r="G209" s="15">
        <f>INDEX($C$6:$J$6,1,$B$49+1)+E209*(INDEX($C$7:$J$7,1,$B$49+1)+E209*(INDEX($C$8:$J$8,1,$B$49+1)+E209*(INDEX($C$9:$J$9,1,$B$49+1)+E209*(INDEX($C$10:$J$10,1,$B$49+1)+E209*(INDEX($C$11:$J$11,1,$B$49+1)+E209*(INDEX($C$12:$J$12,1,$B$49+1)))))))</f>
        <v/>
      </c>
      <c r="H209" s="18">
        <f>$B$44*(F209+$B$52*(G209-F209))</f>
        <v/>
      </c>
      <c r="I209" s="19">
        <f>H209*$B$45/C209</f>
        <v/>
      </c>
      <c r="J209" s="12">
        <f>0.5*$B$40*C209^2</f>
        <v/>
      </c>
      <c r="K209" s="12">
        <f>$B$24*J209*$B$19</f>
        <v/>
      </c>
      <c r="L209" s="12">
        <f>$B$33^2/(J209*$B$19*PI()*$B$43*$B$25)</f>
        <v/>
      </c>
      <c r="M209" s="19">
        <f>K209+L209</f>
        <v/>
      </c>
      <c r="N209" s="19">
        <f>(I209-M209)*C209/$B$33*60</f>
        <v/>
      </c>
      <c r="O209" s="12">
        <f>DEGREES(ASIN(MIN(1,MAX(-1,(I209-M209)/$B$33))))</f>
        <v/>
      </c>
      <c r="P209" s="19">
        <f>M209*C209/$B$33*60</f>
        <v/>
      </c>
      <c r="Q209" s="12">
        <f>DEGREES(ASIN(MIN(1,MAX(-1,M209/$B$33))))</f>
        <v/>
      </c>
    </row>
    <row r="210">
      <c r="A210" s="36" t="n">
        <v>117.5</v>
      </c>
      <c r="B210" s="19">
        <f>A210/SQRT($B$39)</f>
        <v/>
      </c>
      <c r="C210" s="12">
        <f>B210/0.5924838</f>
        <v/>
      </c>
      <c r="D210" s="18">
        <f>C210/($B$46*$B$23)</f>
        <v/>
      </c>
      <c r="E210" s="18">
        <f>D210/$B$47^(1/3)</f>
        <v/>
      </c>
      <c r="F210" s="15">
        <f>INDEX($C$6:$J$6,1,$B$49)+E210*(INDEX($C$7:$J$7,1,$B$49)+E210*(INDEX($C$8:$J$8,1,$B$49)+E210*(INDEX($C$9:$J$9,1,$B$49)+E210*(INDEX($C$10:$J$10,1,$B$49)+E210*(INDEX($C$11:$J$11,1,$B$49)+E210*(INDEX($C$12:$J$12,1,$B$49)))))))</f>
        <v/>
      </c>
      <c r="G210" s="15">
        <f>INDEX($C$6:$J$6,1,$B$49+1)+E210*(INDEX($C$7:$J$7,1,$B$49+1)+E210*(INDEX($C$8:$J$8,1,$B$49+1)+E210*(INDEX($C$9:$J$9,1,$B$49+1)+E210*(INDEX($C$10:$J$10,1,$B$49+1)+E210*(INDEX($C$11:$J$11,1,$B$49+1)+E210*(INDEX($C$12:$J$12,1,$B$49+1)))))))</f>
        <v/>
      </c>
      <c r="H210" s="18">
        <f>$B$44*(F210+$B$52*(G210-F210))</f>
        <v/>
      </c>
      <c r="I210" s="19">
        <f>H210*$B$45/C210</f>
        <v/>
      </c>
      <c r="J210" s="12">
        <f>0.5*$B$40*C210^2</f>
        <v/>
      </c>
      <c r="K210" s="12">
        <f>$B$24*J210*$B$19</f>
        <v/>
      </c>
      <c r="L210" s="12">
        <f>$B$33^2/(J210*$B$19*PI()*$B$43*$B$25)</f>
        <v/>
      </c>
      <c r="M210" s="19">
        <f>K210+L210</f>
        <v/>
      </c>
      <c r="N210" s="19">
        <f>(I210-M210)*C210/$B$33*60</f>
        <v/>
      </c>
      <c r="O210" s="12">
        <f>DEGREES(ASIN(MIN(1,MAX(-1,(I210-M210)/$B$33))))</f>
        <v/>
      </c>
      <c r="P210" s="19">
        <f>M210*C210/$B$33*60</f>
        <v/>
      </c>
      <c r="Q210" s="12">
        <f>DEGREES(ASIN(MIN(1,MAX(-1,M210/$B$33))))</f>
        <v/>
      </c>
    </row>
    <row r="211">
      <c r="A211" s="36" t="n">
        <v>118</v>
      </c>
      <c r="B211" s="19">
        <f>A211/SQRT($B$39)</f>
        <v/>
      </c>
      <c r="C211" s="12">
        <f>B211/0.5924838</f>
        <v/>
      </c>
      <c r="D211" s="18">
        <f>C211/($B$46*$B$23)</f>
        <v/>
      </c>
      <c r="E211" s="18">
        <f>D211/$B$47^(1/3)</f>
        <v/>
      </c>
      <c r="F211" s="15">
        <f>INDEX($C$6:$J$6,1,$B$49)+E211*(INDEX($C$7:$J$7,1,$B$49)+E211*(INDEX($C$8:$J$8,1,$B$49)+E211*(INDEX($C$9:$J$9,1,$B$49)+E211*(INDEX($C$10:$J$10,1,$B$49)+E211*(INDEX($C$11:$J$11,1,$B$49)+E211*(INDEX($C$12:$J$12,1,$B$49)))))))</f>
        <v/>
      </c>
      <c r="G211" s="15">
        <f>INDEX($C$6:$J$6,1,$B$49+1)+E211*(INDEX($C$7:$J$7,1,$B$49+1)+E211*(INDEX($C$8:$J$8,1,$B$49+1)+E211*(INDEX($C$9:$J$9,1,$B$49+1)+E211*(INDEX($C$10:$J$10,1,$B$49+1)+E211*(INDEX($C$11:$J$11,1,$B$49+1)+E211*(INDEX($C$12:$J$12,1,$B$49+1)))))))</f>
        <v/>
      </c>
      <c r="H211" s="18">
        <f>$B$44*(F211+$B$52*(G211-F211))</f>
        <v/>
      </c>
      <c r="I211" s="19">
        <f>H211*$B$45/C211</f>
        <v/>
      </c>
      <c r="J211" s="12">
        <f>0.5*$B$40*C211^2</f>
        <v/>
      </c>
      <c r="K211" s="12">
        <f>$B$24*J211*$B$19</f>
        <v/>
      </c>
      <c r="L211" s="12">
        <f>$B$33^2/(J211*$B$19*PI()*$B$43*$B$25)</f>
        <v/>
      </c>
      <c r="M211" s="19">
        <f>K211+L211</f>
        <v/>
      </c>
      <c r="N211" s="19">
        <f>(I211-M211)*C211/$B$33*60</f>
        <v/>
      </c>
      <c r="O211" s="12">
        <f>DEGREES(ASIN(MIN(1,MAX(-1,(I211-M211)/$B$33))))</f>
        <v/>
      </c>
      <c r="P211" s="19">
        <f>M211*C211/$B$33*60</f>
        <v/>
      </c>
      <c r="Q211" s="12">
        <f>DEGREES(ASIN(MIN(1,MAX(-1,M211/$B$33))))</f>
        <v/>
      </c>
    </row>
    <row r="212">
      <c r="A212" s="36" t="n">
        <v>118.5</v>
      </c>
      <c r="B212" s="19">
        <f>A212/SQRT($B$39)</f>
        <v/>
      </c>
      <c r="C212" s="12">
        <f>B212/0.5924838</f>
        <v/>
      </c>
      <c r="D212" s="18">
        <f>C212/($B$46*$B$23)</f>
        <v/>
      </c>
      <c r="E212" s="18">
        <f>D212/$B$47^(1/3)</f>
        <v/>
      </c>
      <c r="F212" s="15">
        <f>INDEX($C$6:$J$6,1,$B$49)+E212*(INDEX($C$7:$J$7,1,$B$49)+E212*(INDEX($C$8:$J$8,1,$B$49)+E212*(INDEX($C$9:$J$9,1,$B$49)+E212*(INDEX($C$10:$J$10,1,$B$49)+E212*(INDEX($C$11:$J$11,1,$B$49)+E212*(INDEX($C$12:$J$12,1,$B$49)))))))</f>
        <v/>
      </c>
      <c r="G212" s="15">
        <f>INDEX($C$6:$J$6,1,$B$49+1)+E212*(INDEX($C$7:$J$7,1,$B$49+1)+E212*(INDEX($C$8:$J$8,1,$B$49+1)+E212*(INDEX($C$9:$J$9,1,$B$49+1)+E212*(INDEX($C$10:$J$10,1,$B$49+1)+E212*(INDEX($C$11:$J$11,1,$B$49+1)+E212*(INDEX($C$12:$J$12,1,$B$49+1)))))))</f>
        <v/>
      </c>
      <c r="H212" s="18">
        <f>$B$44*(F212+$B$52*(G212-F212))</f>
        <v/>
      </c>
      <c r="I212" s="19">
        <f>H212*$B$45/C212</f>
        <v/>
      </c>
      <c r="J212" s="12">
        <f>0.5*$B$40*C212^2</f>
        <v/>
      </c>
      <c r="K212" s="12">
        <f>$B$24*J212*$B$19</f>
        <v/>
      </c>
      <c r="L212" s="12">
        <f>$B$33^2/(J212*$B$19*PI()*$B$43*$B$25)</f>
        <v/>
      </c>
      <c r="M212" s="19">
        <f>K212+L212</f>
        <v/>
      </c>
      <c r="N212" s="19">
        <f>(I212-M212)*C212/$B$33*60</f>
        <v/>
      </c>
      <c r="O212" s="12">
        <f>DEGREES(ASIN(MIN(1,MAX(-1,(I212-M212)/$B$33))))</f>
        <v/>
      </c>
      <c r="P212" s="19">
        <f>M212*C212/$B$33*60</f>
        <v/>
      </c>
      <c r="Q212" s="12">
        <f>DEGREES(ASIN(MIN(1,MAX(-1,M212/$B$33))))</f>
        <v/>
      </c>
    </row>
    <row r="213">
      <c r="A213" s="36" t="n">
        <v>119</v>
      </c>
      <c r="B213" s="19">
        <f>A213/SQRT($B$39)</f>
        <v/>
      </c>
      <c r="C213" s="12">
        <f>B213/0.5924838</f>
        <v/>
      </c>
      <c r="D213" s="18">
        <f>C213/($B$46*$B$23)</f>
        <v/>
      </c>
      <c r="E213" s="18">
        <f>D213/$B$47^(1/3)</f>
        <v/>
      </c>
      <c r="F213" s="15">
        <f>INDEX($C$6:$J$6,1,$B$49)+E213*(INDEX($C$7:$J$7,1,$B$49)+E213*(INDEX($C$8:$J$8,1,$B$49)+E213*(INDEX($C$9:$J$9,1,$B$49)+E213*(INDEX($C$10:$J$10,1,$B$49)+E213*(INDEX($C$11:$J$11,1,$B$49)+E213*(INDEX($C$12:$J$12,1,$B$49)))))))</f>
        <v/>
      </c>
      <c r="G213" s="15">
        <f>INDEX($C$6:$J$6,1,$B$49+1)+E213*(INDEX($C$7:$J$7,1,$B$49+1)+E213*(INDEX($C$8:$J$8,1,$B$49+1)+E213*(INDEX($C$9:$J$9,1,$B$49+1)+E213*(INDEX($C$10:$J$10,1,$B$49+1)+E213*(INDEX($C$11:$J$11,1,$B$49+1)+E213*(INDEX($C$12:$J$12,1,$B$49+1)))))))</f>
        <v/>
      </c>
      <c r="H213" s="18">
        <f>$B$44*(F213+$B$52*(G213-F213))</f>
        <v/>
      </c>
      <c r="I213" s="19">
        <f>H213*$B$45/C213</f>
        <v/>
      </c>
      <c r="J213" s="12">
        <f>0.5*$B$40*C213^2</f>
        <v/>
      </c>
      <c r="K213" s="12">
        <f>$B$24*J213*$B$19</f>
        <v/>
      </c>
      <c r="L213" s="12">
        <f>$B$33^2/(J213*$B$19*PI()*$B$43*$B$25)</f>
        <v/>
      </c>
      <c r="M213" s="19">
        <f>K213+L213</f>
        <v/>
      </c>
      <c r="N213" s="19">
        <f>(I213-M213)*C213/$B$33*60</f>
        <v/>
      </c>
      <c r="O213" s="12">
        <f>DEGREES(ASIN(MIN(1,MAX(-1,(I213-M213)/$B$33))))</f>
        <v/>
      </c>
      <c r="P213" s="19">
        <f>M213*C213/$B$33*60</f>
        <v/>
      </c>
      <c r="Q213" s="12">
        <f>DEGREES(ASIN(MIN(1,MAX(-1,M213/$B$33))))</f>
        <v/>
      </c>
    </row>
    <row r="214">
      <c r="A214" s="36" t="n">
        <v>119.5</v>
      </c>
      <c r="B214" s="19">
        <f>A214/SQRT($B$39)</f>
        <v/>
      </c>
      <c r="C214" s="12">
        <f>B214/0.5924838</f>
        <v/>
      </c>
      <c r="D214" s="18">
        <f>C214/($B$46*$B$23)</f>
        <v/>
      </c>
      <c r="E214" s="18">
        <f>D214/$B$47^(1/3)</f>
        <v/>
      </c>
      <c r="F214" s="15">
        <f>INDEX($C$6:$J$6,1,$B$49)+E214*(INDEX($C$7:$J$7,1,$B$49)+E214*(INDEX($C$8:$J$8,1,$B$49)+E214*(INDEX($C$9:$J$9,1,$B$49)+E214*(INDEX($C$10:$J$10,1,$B$49)+E214*(INDEX($C$11:$J$11,1,$B$49)+E214*(INDEX($C$12:$J$12,1,$B$49)))))))</f>
        <v/>
      </c>
      <c r="G214" s="15">
        <f>INDEX($C$6:$J$6,1,$B$49+1)+E214*(INDEX($C$7:$J$7,1,$B$49+1)+E214*(INDEX($C$8:$J$8,1,$B$49+1)+E214*(INDEX($C$9:$J$9,1,$B$49+1)+E214*(INDEX($C$10:$J$10,1,$B$49+1)+E214*(INDEX($C$11:$J$11,1,$B$49+1)+E214*(INDEX($C$12:$J$12,1,$B$49+1)))))))</f>
        <v/>
      </c>
      <c r="H214" s="18">
        <f>$B$44*(F214+$B$52*(G214-F214))</f>
        <v/>
      </c>
      <c r="I214" s="19">
        <f>H214*$B$45/C214</f>
        <v/>
      </c>
      <c r="J214" s="12">
        <f>0.5*$B$40*C214^2</f>
        <v/>
      </c>
      <c r="K214" s="12">
        <f>$B$24*J214*$B$19</f>
        <v/>
      </c>
      <c r="L214" s="12">
        <f>$B$33^2/(J214*$B$19*PI()*$B$43*$B$25)</f>
        <v/>
      </c>
      <c r="M214" s="19">
        <f>K214+L214</f>
        <v/>
      </c>
      <c r="N214" s="19">
        <f>(I214-M214)*C214/$B$33*60</f>
        <v/>
      </c>
      <c r="O214" s="12">
        <f>DEGREES(ASIN(MIN(1,MAX(-1,(I214-M214)/$B$33))))</f>
        <v/>
      </c>
      <c r="P214" s="19">
        <f>M214*C214/$B$33*60</f>
        <v/>
      </c>
      <c r="Q214" s="12">
        <f>DEGREES(ASIN(MIN(1,MAX(-1,M214/$B$33))))</f>
        <v/>
      </c>
    </row>
    <row r="215">
      <c r="A215" s="36" t="n">
        <v>120</v>
      </c>
      <c r="B215" s="19">
        <f>A215/SQRT($B$39)</f>
        <v/>
      </c>
      <c r="C215" s="12">
        <f>B215/0.5924838</f>
        <v/>
      </c>
      <c r="D215" s="18">
        <f>C215/($B$46*$B$23)</f>
        <v/>
      </c>
      <c r="E215" s="18">
        <f>D215/$B$47^(1/3)</f>
        <v/>
      </c>
      <c r="F215" s="15">
        <f>INDEX($C$6:$J$6,1,$B$49)+E215*(INDEX($C$7:$J$7,1,$B$49)+E215*(INDEX($C$8:$J$8,1,$B$49)+E215*(INDEX($C$9:$J$9,1,$B$49)+E215*(INDEX($C$10:$J$10,1,$B$49)+E215*(INDEX($C$11:$J$11,1,$B$49)+E215*(INDEX($C$12:$J$12,1,$B$49)))))))</f>
        <v/>
      </c>
      <c r="G215" s="15">
        <f>INDEX($C$6:$J$6,1,$B$49+1)+E215*(INDEX($C$7:$J$7,1,$B$49+1)+E215*(INDEX($C$8:$J$8,1,$B$49+1)+E215*(INDEX($C$9:$J$9,1,$B$49+1)+E215*(INDEX($C$10:$J$10,1,$B$49+1)+E215*(INDEX($C$11:$J$11,1,$B$49+1)+E215*(INDEX($C$12:$J$12,1,$B$49+1)))))))</f>
        <v/>
      </c>
      <c r="H215" s="18">
        <f>$B$44*(F215+$B$52*(G215-F215))</f>
        <v/>
      </c>
      <c r="I215" s="19">
        <f>H215*$B$45/C215</f>
        <v/>
      </c>
      <c r="J215" s="12">
        <f>0.5*$B$40*C215^2</f>
        <v/>
      </c>
      <c r="K215" s="12">
        <f>$B$24*J215*$B$19</f>
        <v/>
      </c>
      <c r="L215" s="12">
        <f>$B$33^2/(J215*$B$19*PI()*$B$43*$B$25)</f>
        <v/>
      </c>
      <c r="M215" s="19">
        <f>K215+L215</f>
        <v/>
      </c>
      <c r="N215" s="19">
        <f>(I215-M215)*C215/$B$33*60</f>
        <v/>
      </c>
      <c r="O215" s="12">
        <f>DEGREES(ASIN(MIN(1,MAX(-1,(I215-M215)/$B$33))))</f>
        <v/>
      </c>
      <c r="P215" s="19">
        <f>M215*C215/$B$33*60</f>
        <v/>
      </c>
      <c r="Q215" s="12">
        <f>DEGREES(ASIN(MIN(1,MAX(-1,M215/$B$33))))</f>
        <v/>
      </c>
    </row>
    <row r="216">
      <c r="A216" s="36" t="n">
        <v>120.5</v>
      </c>
      <c r="B216" s="19">
        <f>A216/SQRT($B$39)</f>
        <v/>
      </c>
      <c r="C216" s="12">
        <f>B216/0.5924838</f>
        <v/>
      </c>
      <c r="D216" s="18">
        <f>C216/($B$46*$B$23)</f>
        <v/>
      </c>
      <c r="E216" s="18">
        <f>D216/$B$47^(1/3)</f>
        <v/>
      </c>
      <c r="F216" s="15">
        <f>INDEX($C$6:$J$6,1,$B$49)+E216*(INDEX($C$7:$J$7,1,$B$49)+E216*(INDEX($C$8:$J$8,1,$B$49)+E216*(INDEX($C$9:$J$9,1,$B$49)+E216*(INDEX($C$10:$J$10,1,$B$49)+E216*(INDEX($C$11:$J$11,1,$B$49)+E216*(INDEX($C$12:$J$12,1,$B$49)))))))</f>
        <v/>
      </c>
      <c r="G216" s="15">
        <f>INDEX($C$6:$J$6,1,$B$49+1)+E216*(INDEX($C$7:$J$7,1,$B$49+1)+E216*(INDEX($C$8:$J$8,1,$B$49+1)+E216*(INDEX($C$9:$J$9,1,$B$49+1)+E216*(INDEX($C$10:$J$10,1,$B$49+1)+E216*(INDEX($C$11:$J$11,1,$B$49+1)+E216*(INDEX($C$12:$J$12,1,$B$49+1)))))))</f>
        <v/>
      </c>
      <c r="H216" s="18">
        <f>$B$44*(F216+$B$52*(G216-F216))</f>
        <v/>
      </c>
      <c r="I216" s="19">
        <f>H216*$B$45/C216</f>
        <v/>
      </c>
      <c r="J216" s="12">
        <f>0.5*$B$40*C216^2</f>
        <v/>
      </c>
      <c r="K216" s="12">
        <f>$B$24*J216*$B$19</f>
        <v/>
      </c>
      <c r="L216" s="12">
        <f>$B$33^2/(J216*$B$19*PI()*$B$43*$B$25)</f>
        <v/>
      </c>
      <c r="M216" s="19">
        <f>K216+L216</f>
        <v/>
      </c>
      <c r="N216" s="19">
        <f>(I216-M216)*C216/$B$33*60</f>
        <v/>
      </c>
      <c r="O216" s="12">
        <f>DEGREES(ASIN(MIN(1,MAX(-1,(I216-M216)/$B$33))))</f>
        <v/>
      </c>
      <c r="P216" s="19">
        <f>M216*C216/$B$33*60</f>
        <v/>
      </c>
      <c r="Q216" s="12">
        <f>DEGREES(ASIN(MIN(1,MAX(-1,M216/$B$33))))</f>
        <v/>
      </c>
    </row>
    <row r="217">
      <c r="A217" s="36" t="n">
        <v>121</v>
      </c>
      <c r="B217" s="19">
        <f>A217/SQRT($B$39)</f>
        <v/>
      </c>
      <c r="C217" s="12">
        <f>B217/0.5924838</f>
        <v/>
      </c>
      <c r="D217" s="18">
        <f>C217/($B$46*$B$23)</f>
        <v/>
      </c>
      <c r="E217" s="18">
        <f>D217/$B$47^(1/3)</f>
        <v/>
      </c>
      <c r="F217" s="15">
        <f>INDEX($C$6:$J$6,1,$B$49)+E217*(INDEX($C$7:$J$7,1,$B$49)+E217*(INDEX($C$8:$J$8,1,$B$49)+E217*(INDEX($C$9:$J$9,1,$B$49)+E217*(INDEX($C$10:$J$10,1,$B$49)+E217*(INDEX($C$11:$J$11,1,$B$49)+E217*(INDEX($C$12:$J$12,1,$B$49)))))))</f>
        <v/>
      </c>
      <c r="G217" s="15">
        <f>INDEX($C$6:$J$6,1,$B$49+1)+E217*(INDEX($C$7:$J$7,1,$B$49+1)+E217*(INDEX($C$8:$J$8,1,$B$49+1)+E217*(INDEX($C$9:$J$9,1,$B$49+1)+E217*(INDEX($C$10:$J$10,1,$B$49+1)+E217*(INDEX($C$11:$J$11,1,$B$49+1)+E217*(INDEX($C$12:$J$12,1,$B$49+1)))))))</f>
        <v/>
      </c>
      <c r="H217" s="18">
        <f>$B$44*(F217+$B$52*(G217-F217))</f>
        <v/>
      </c>
      <c r="I217" s="19">
        <f>H217*$B$45/C217</f>
        <v/>
      </c>
      <c r="J217" s="12">
        <f>0.5*$B$40*C217^2</f>
        <v/>
      </c>
      <c r="K217" s="12">
        <f>$B$24*J217*$B$19</f>
        <v/>
      </c>
      <c r="L217" s="12">
        <f>$B$33^2/(J217*$B$19*PI()*$B$43*$B$25)</f>
        <v/>
      </c>
      <c r="M217" s="19">
        <f>K217+L217</f>
        <v/>
      </c>
      <c r="N217" s="19">
        <f>(I217-M217)*C217/$B$33*60</f>
        <v/>
      </c>
      <c r="O217" s="12">
        <f>DEGREES(ASIN(MIN(1,MAX(-1,(I217-M217)/$B$33))))</f>
        <v/>
      </c>
      <c r="P217" s="19">
        <f>M217*C217/$B$33*60</f>
        <v/>
      </c>
      <c r="Q217" s="12">
        <f>DEGREES(ASIN(MIN(1,MAX(-1,M217/$B$33))))</f>
        <v/>
      </c>
    </row>
    <row r="218">
      <c r="A218" s="36" t="n">
        <v>121.5</v>
      </c>
      <c r="B218" s="19">
        <f>A218/SQRT($B$39)</f>
        <v/>
      </c>
      <c r="C218" s="12">
        <f>B218/0.5924838</f>
        <v/>
      </c>
      <c r="D218" s="18">
        <f>C218/($B$46*$B$23)</f>
        <v/>
      </c>
      <c r="E218" s="18">
        <f>D218/$B$47^(1/3)</f>
        <v/>
      </c>
      <c r="F218" s="15">
        <f>INDEX($C$6:$J$6,1,$B$49)+E218*(INDEX($C$7:$J$7,1,$B$49)+E218*(INDEX($C$8:$J$8,1,$B$49)+E218*(INDEX($C$9:$J$9,1,$B$49)+E218*(INDEX($C$10:$J$10,1,$B$49)+E218*(INDEX($C$11:$J$11,1,$B$49)+E218*(INDEX($C$12:$J$12,1,$B$49)))))))</f>
        <v/>
      </c>
      <c r="G218" s="15">
        <f>INDEX($C$6:$J$6,1,$B$49+1)+E218*(INDEX($C$7:$J$7,1,$B$49+1)+E218*(INDEX($C$8:$J$8,1,$B$49+1)+E218*(INDEX($C$9:$J$9,1,$B$49+1)+E218*(INDEX($C$10:$J$10,1,$B$49+1)+E218*(INDEX($C$11:$J$11,1,$B$49+1)+E218*(INDEX($C$12:$J$12,1,$B$49+1)))))))</f>
        <v/>
      </c>
      <c r="H218" s="18">
        <f>$B$44*(F218+$B$52*(G218-F218))</f>
        <v/>
      </c>
      <c r="I218" s="19">
        <f>H218*$B$45/C218</f>
        <v/>
      </c>
      <c r="J218" s="12">
        <f>0.5*$B$40*C218^2</f>
        <v/>
      </c>
      <c r="K218" s="12">
        <f>$B$24*J218*$B$19</f>
        <v/>
      </c>
      <c r="L218" s="12">
        <f>$B$33^2/(J218*$B$19*PI()*$B$43*$B$25)</f>
        <v/>
      </c>
      <c r="M218" s="19">
        <f>K218+L218</f>
        <v/>
      </c>
      <c r="N218" s="19">
        <f>(I218-M218)*C218/$B$33*60</f>
        <v/>
      </c>
      <c r="O218" s="12">
        <f>DEGREES(ASIN(MIN(1,MAX(-1,(I218-M218)/$B$33))))</f>
        <v/>
      </c>
      <c r="P218" s="19">
        <f>M218*C218/$B$33*60</f>
        <v/>
      </c>
      <c r="Q218" s="12">
        <f>DEGREES(ASIN(MIN(1,MAX(-1,M218/$B$33))))</f>
        <v/>
      </c>
    </row>
    <row r="219">
      <c r="A219" s="36" t="n">
        <v>122</v>
      </c>
      <c r="B219" s="19">
        <f>A219/SQRT($B$39)</f>
        <v/>
      </c>
      <c r="C219" s="12">
        <f>B219/0.5924838</f>
        <v/>
      </c>
      <c r="D219" s="18">
        <f>C219/($B$46*$B$23)</f>
        <v/>
      </c>
      <c r="E219" s="18">
        <f>D219/$B$47^(1/3)</f>
        <v/>
      </c>
      <c r="F219" s="15">
        <f>INDEX($C$6:$J$6,1,$B$49)+E219*(INDEX($C$7:$J$7,1,$B$49)+E219*(INDEX($C$8:$J$8,1,$B$49)+E219*(INDEX($C$9:$J$9,1,$B$49)+E219*(INDEX($C$10:$J$10,1,$B$49)+E219*(INDEX($C$11:$J$11,1,$B$49)+E219*(INDEX($C$12:$J$12,1,$B$49)))))))</f>
        <v/>
      </c>
      <c r="G219" s="15">
        <f>INDEX($C$6:$J$6,1,$B$49+1)+E219*(INDEX($C$7:$J$7,1,$B$49+1)+E219*(INDEX($C$8:$J$8,1,$B$49+1)+E219*(INDEX($C$9:$J$9,1,$B$49+1)+E219*(INDEX($C$10:$J$10,1,$B$49+1)+E219*(INDEX($C$11:$J$11,1,$B$49+1)+E219*(INDEX($C$12:$J$12,1,$B$49+1)))))))</f>
        <v/>
      </c>
      <c r="H219" s="18">
        <f>$B$44*(F219+$B$52*(G219-F219))</f>
        <v/>
      </c>
      <c r="I219" s="19">
        <f>H219*$B$45/C219</f>
        <v/>
      </c>
      <c r="J219" s="12">
        <f>0.5*$B$40*C219^2</f>
        <v/>
      </c>
      <c r="K219" s="12">
        <f>$B$24*J219*$B$19</f>
        <v/>
      </c>
      <c r="L219" s="12">
        <f>$B$33^2/(J219*$B$19*PI()*$B$43*$B$25)</f>
        <v/>
      </c>
      <c r="M219" s="19">
        <f>K219+L219</f>
        <v/>
      </c>
      <c r="N219" s="19">
        <f>(I219-M219)*C219/$B$33*60</f>
        <v/>
      </c>
      <c r="O219" s="12">
        <f>DEGREES(ASIN(MIN(1,MAX(-1,(I219-M219)/$B$33))))</f>
        <v/>
      </c>
      <c r="P219" s="19">
        <f>M219*C219/$B$33*60</f>
        <v/>
      </c>
      <c r="Q219" s="12">
        <f>DEGREES(ASIN(MIN(1,MAX(-1,M219/$B$33))))</f>
        <v/>
      </c>
    </row>
    <row r="220">
      <c r="A220" s="36" t="n">
        <v>122.5</v>
      </c>
      <c r="B220" s="19">
        <f>A220/SQRT($B$39)</f>
        <v/>
      </c>
      <c r="C220" s="12">
        <f>B220/0.5924838</f>
        <v/>
      </c>
      <c r="D220" s="18">
        <f>C220/($B$46*$B$23)</f>
        <v/>
      </c>
      <c r="E220" s="18">
        <f>D220/$B$47^(1/3)</f>
        <v/>
      </c>
      <c r="F220" s="15">
        <f>INDEX($C$6:$J$6,1,$B$49)+E220*(INDEX($C$7:$J$7,1,$B$49)+E220*(INDEX($C$8:$J$8,1,$B$49)+E220*(INDEX($C$9:$J$9,1,$B$49)+E220*(INDEX($C$10:$J$10,1,$B$49)+E220*(INDEX($C$11:$J$11,1,$B$49)+E220*(INDEX($C$12:$J$12,1,$B$49)))))))</f>
        <v/>
      </c>
      <c r="G220" s="15">
        <f>INDEX($C$6:$J$6,1,$B$49+1)+E220*(INDEX($C$7:$J$7,1,$B$49+1)+E220*(INDEX($C$8:$J$8,1,$B$49+1)+E220*(INDEX($C$9:$J$9,1,$B$49+1)+E220*(INDEX($C$10:$J$10,1,$B$49+1)+E220*(INDEX($C$11:$J$11,1,$B$49+1)+E220*(INDEX($C$12:$J$12,1,$B$49+1)))))))</f>
        <v/>
      </c>
      <c r="H220" s="18">
        <f>$B$44*(F220+$B$52*(G220-F220))</f>
        <v/>
      </c>
      <c r="I220" s="19">
        <f>H220*$B$45/C220</f>
        <v/>
      </c>
      <c r="J220" s="12">
        <f>0.5*$B$40*C220^2</f>
        <v/>
      </c>
      <c r="K220" s="12">
        <f>$B$24*J220*$B$19</f>
        <v/>
      </c>
      <c r="L220" s="12">
        <f>$B$33^2/(J220*$B$19*PI()*$B$43*$B$25)</f>
        <v/>
      </c>
      <c r="M220" s="19">
        <f>K220+L220</f>
        <v/>
      </c>
      <c r="N220" s="19">
        <f>(I220-M220)*C220/$B$33*60</f>
        <v/>
      </c>
      <c r="O220" s="12">
        <f>DEGREES(ASIN(MIN(1,MAX(-1,(I220-M220)/$B$33))))</f>
        <v/>
      </c>
      <c r="P220" s="19">
        <f>M220*C220/$B$33*60</f>
        <v/>
      </c>
      <c r="Q220" s="12">
        <f>DEGREES(ASIN(MIN(1,MAX(-1,M220/$B$33))))</f>
        <v/>
      </c>
    </row>
    <row r="221">
      <c r="A221" s="36" t="n">
        <v>123</v>
      </c>
      <c r="B221" s="19">
        <f>A221/SQRT($B$39)</f>
        <v/>
      </c>
      <c r="C221" s="12">
        <f>B221/0.5924838</f>
        <v/>
      </c>
      <c r="D221" s="18">
        <f>C221/($B$46*$B$23)</f>
        <v/>
      </c>
      <c r="E221" s="18">
        <f>D221/$B$47^(1/3)</f>
        <v/>
      </c>
      <c r="F221" s="15">
        <f>INDEX($C$6:$J$6,1,$B$49)+E221*(INDEX($C$7:$J$7,1,$B$49)+E221*(INDEX($C$8:$J$8,1,$B$49)+E221*(INDEX($C$9:$J$9,1,$B$49)+E221*(INDEX($C$10:$J$10,1,$B$49)+E221*(INDEX($C$11:$J$11,1,$B$49)+E221*(INDEX($C$12:$J$12,1,$B$49)))))))</f>
        <v/>
      </c>
      <c r="G221" s="15">
        <f>INDEX($C$6:$J$6,1,$B$49+1)+E221*(INDEX($C$7:$J$7,1,$B$49+1)+E221*(INDEX($C$8:$J$8,1,$B$49+1)+E221*(INDEX($C$9:$J$9,1,$B$49+1)+E221*(INDEX($C$10:$J$10,1,$B$49+1)+E221*(INDEX($C$11:$J$11,1,$B$49+1)+E221*(INDEX($C$12:$J$12,1,$B$49+1)))))))</f>
        <v/>
      </c>
      <c r="H221" s="18">
        <f>$B$44*(F221+$B$52*(G221-F221))</f>
        <v/>
      </c>
      <c r="I221" s="19">
        <f>H221*$B$45/C221</f>
        <v/>
      </c>
      <c r="J221" s="12">
        <f>0.5*$B$40*C221^2</f>
        <v/>
      </c>
      <c r="K221" s="12">
        <f>$B$24*J221*$B$19</f>
        <v/>
      </c>
      <c r="L221" s="12">
        <f>$B$33^2/(J221*$B$19*PI()*$B$43*$B$25)</f>
        <v/>
      </c>
      <c r="M221" s="19">
        <f>K221+L221</f>
        <v/>
      </c>
      <c r="N221" s="19">
        <f>(I221-M221)*C221/$B$33*60</f>
        <v/>
      </c>
      <c r="O221" s="12">
        <f>DEGREES(ASIN(MIN(1,MAX(-1,(I221-M221)/$B$33))))</f>
        <v/>
      </c>
      <c r="P221" s="19">
        <f>M221*C221/$B$33*60</f>
        <v/>
      </c>
      <c r="Q221" s="12">
        <f>DEGREES(ASIN(MIN(1,MAX(-1,M221/$B$33))))</f>
        <v/>
      </c>
    </row>
    <row r="222">
      <c r="A222" s="36" t="n">
        <v>123.5</v>
      </c>
      <c r="B222" s="19">
        <f>A222/SQRT($B$39)</f>
        <v/>
      </c>
      <c r="C222" s="12">
        <f>B222/0.5924838</f>
        <v/>
      </c>
      <c r="D222" s="18">
        <f>C222/($B$46*$B$23)</f>
        <v/>
      </c>
      <c r="E222" s="18">
        <f>D222/$B$47^(1/3)</f>
        <v/>
      </c>
      <c r="F222" s="15">
        <f>INDEX($C$6:$J$6,1,$B$49)+E222*(INDEX($C$7:$J$7,1,$B$49)+E222*(INDEX($C$8:$J$8,1,$B$49)+E222*(INDEX($C$9:$J$9,1,$B$49)+E222*(INDEX($C$10:$J$10,1,$B$49)+E222*(INDEX($C$11:$J$11,1,$B$49)+E222*(INDEX($C$12:$J$12,1,$B$49)))))))</f>
        <v/>
      </c>
      <c r="G222" s="15">
        <f>INDEX($C$6:$J$6,1,$B$49+1)+E222*(INDEX($C$7:$J$7,1,$B$49+1)+E222*(INDEX($C$8:$J$8,1,$B$49+1)+E222*(INDEX($C$9:$J$9,1,$B$49+1)+E222*(INDEX($C$10:$J$10,1,$B$49+1)+E222*(INDEX($C$11:$J$11,1,$B$49+1)+E222*(INDEX($C$12:$J$12,1,$B$49+1)))))))</f>
        <v/>
      </c>
      <c r="H222" s="18">
        <f>$B$44*(F222+$B$52*(G222-F222))</f>
        <v/>
      </c>
      <c r="I222" s="19">
        <f>H222*$B$45/C222</f>
        <v/>
      </c>
      <c r="J222" s="12">
        <f>0.5*$B$40*C222^2</f>
        <v/>
      </c>
      <c r="K222" s="12">
        <f>$B$24*J222*$B$19</f>
        <v/>
      </c>
      <c r="L222" s="12">
        <f>$B$33^2/(J222*$B$19*PI()*$B$43*$B$25)</f>
        <v/>
      </c>
      <c r="M222" s="19">
        <f>K222+L222</f>
        <v/>
      </c>
      <c r="N222" s="19">
        <f>(I222-M222)*C222/$B$33*60</f>
        <v/>
      </c>
      <c r="O222" s="12">
        <f>DEGREES(ASIN(MIN(1,MAX(-1,(I222-M222)/$B$33))))</f>
        <v/>
      </c>
      <c r="P222" s="19">
        <f>M222*C222/$B$33*60</f>
        <v/>
      </c>
      <c r="Q222" s="12">
        <f>DEGREES(ASIN(MIN(1,MAX(-1,M222/$B$33))))</f>
        <v/>
      </c>
    </row>
    <row r="223">
      <c r="A223" s="36" t="n">
        <v>124</v>
      </c>
      <c r="B223" s="19">
        <f>A223/SQRT($B$39)</f>
        <v/>
      </c>
      <c r="C223" s="12">
        <f>B223/0.5924838</f>
        <v/>
      </c>
      <c r="D223" s="18">
        <f>C223/($B$46*$B$23)</f>
        <v/>
      </c>
      <c r="E223" s="18">
        <f>D223/$B$47^(1/3)</f>
        <v/>
      </c>
      <c r="F223" s="15">
        <f>INDEX($C$6:$J$6,1,$B$49)+E223*(INDEX($C$7:$J$7,1,$B$49)+E223*(INDEX($C$8:$J$8,1,$B$49)+E223*(INDEX($C$9:$J$9,1,$B$49)+E223*(INDEX($C$10:$J$10,1,$B$49)+E223*(INDEX($C$11:$J$11,1,$B$49)+E223*(INDEX($C$12:$J$12,1,$B$49)))))))</f>
        <v/>
      </c>
      <c r="G223" s="15">
        <f>INDEX($C$6:$J$6,1,$B$49+1)+E223*(INDEX($C$7:$J$7,1,$B$49+1)+E223*(INDEX($C$8:$J$8,1,$B$49+1)+E223*(INDEX($C$9:$J$9,1,$B$49+1)+E223*(INDEX($C$10:$J$10,1,$B$49+1)+E223*(INDEX($C$11:$J$11,1,$B$49+1)+E223*(INDEX($C$12:$J$12,1,$B$49+1)))))))</f>
        <v/>
      </c>
      <c r="H223" s="18">
        <f>$B$44*(F223+$B$52*(G223-F223))</f>
        <v/>
      </c>
      <c r="I223" s="19">
        <f>H223*$B$45/C223</f>
        <v/>
      </c>
      <c r="J223" s="12">
        <f>0.5*$B$40*C223^2</f>
        <v/>
      </c>
      <c r="K223" s="12">
        <f>$B$24*J223*$B$19</f>
        <v/>
      </c>
      <c r="L223" s="12">
        <f>$B$33^2/(J223*$B$19*PI()*$B$43*$B$25)</f>
        <v/>
      </c>
      <c r="M223" s="19">
        <f>K223+L223</f>
        <v/>
      </c>
      <c r="N223" s="19">
        <f>(I223-M223)*C223/$B$33*60</f>
        <v/>
      </c>
      <c r="O223" s="12">
        <f>DEGREES(ASIN(MIN(1,MAX(-1,(I223-M223)/$B$33))))</f>
        <v/>
      </c>
      <c r="P223" s="19">
        <f>M223*C223/$B$33*60</f>
        <v/>
      </c>
      <c r="Q223" s="12">
        <f>DEGREES(ASIN(MIN(1,MAX(-1,M223/$B$33))))</f>
        <v/>
      </c>
    </row>
    <row r="224">
      <c r="A224" s="36" t="n">
        <v>124.5</v>
      </c>
      <c r="B224" s="19">
        <f>A224/SQRT($B$39)</f>
        <v/>
      </c>
      <c r="C224" s="12">
        <f>B224/0.5924838</f>
        <v/>
      </c>
      <c r="D224" s="18">
        <f>C224/($B$46*$B$23)</f>
        <v/>
      </c>
      <c r="E224" s="18">
        <f>D224/$B$47^(1/3)</f>
        <v/>
      </c>
      <c r="F224" s="15">
        <f>INDEX($C$6:$J$6,1,$B$49)+E224*(INDEX($C$7:$J$7,1,$B$49)+E224*(INDEX($C$8:$J$8,1,$B$49)+E224*(INDEX($C$9:$J$9,1,$B$49)+E224*(INDEX($C$10:$J$10,1,$B$49)+E224*(INDEX($C$11:$J$11,1,$B$49)+E224*(INDEX($C$12:$J$12,1,$B$49)))))))</f>
        <v/>
      </c>
      <c r="G224" s="15">
        <f>INDEX($C$6:$J$6,1,$B$49+1)+E224*(INDEX($C$7:$J$7,1,$B$49+1)+E224*(INDEX($C$8:$J$8,1,$B$49+1)+E224*(INDEX($C$9:$J$9,1,$B$49+1)+E224*(INDEX($C$10:$J$10,1,$B$49+1)+E224*(INDEX($C$11:$J$11,1,$B$49+1)+E224*(INDEX($C$12:$J$12,1,$B$49+1)))))))</f>
        <v/>
      </c>
      <c r="H224" s="18">
        <f>$B$44*(F224+$B$52*(G224-F224))</f>
        <v/>
      </c>
      <c r="I224" s="19">
        <f>H224*$B$45/C224</f>
        <v/>
      </c>
      <c r="J224" s="12">
        <f>0.5*$B$40*C224^2</f>
        <v/>
      </c>
      <c r="K224" s="12">
        <f>$B$24*J224*$B$19</f>
        <v/>
      </c>
      <c r="L224" s="12">
        <f>$B$33^2/(J224*$B$19*PI()*$B$43*$B$25)</f>
        <v/>
      </c>
      <c r="M224" s="19">
        <f>K224+L224</f>
        <v/>
      </c>
      <c r="N224" s="19">
        <f>(I224-M224)*C224/$B$33*60</f>
        <v/>
      </c>
      <c r="O224" s="12">
        <f>DEGREES(ASIN(MIN(1,MAX(-1,(I224-M224)/$B$33))))</f>
        <v/>
      </c>
      <c r="P224" s="19">
        <f>M224*C224/$B$33*60</f>
        <v/>
      </c>
      <c r="Q224" s="12">
        <f>DEGREES(ASIN(MIN(1,MAX(-1,M224/$B$33))))</f>
        <v/>
      </c>
    </row>
    <row r="225">
      <c r="A225" s="36" t="n">
        <v>125</v>
      </c>
      <c r="B225" s="19">
        <f>A225/SQRT($B$39)</f>
        <v/>
      </c>
      <c r="C225" s="12">
        <f>B225/0.5924838</f>
        <v/>
      </c>
      <c r="D225" s="18">
        <f>C225/($B$46*$B$23)</f>
        <v/>
      </c>
      <c r="E225" s="18">
        <f>D225/$B$47^(1/3)</f>
        <v/>
      </c>
      <c r="F225" s="15">
        <f>INDEX($C$6:$J$6,1,$B$49)+E225*(INDEX($C$7:$J$7,1,$B$49)+E225*(INDEX($C$8:$J$8,1,$B$49)+E225*(INDEX($C$9:$J$9,1,$B$49)+E225*(INDEX($C$10:$J$10,1,$B$49)+E225*(INDEX($C$11:$J$11,1,$B$49)+E225*(INDEX($C$12:$J$12,1,$B$49)))))))</f>
        <v/>
      </c>
      <c r="G225" s="15">
        <f>INDEX($C$6:$J$6,1,$B$49+1)+E225*(INDEX($C$7:$J$7,1,$B$49+1)+E225*(INDEX($C$8:$J$8,1,$B$49+1)+E225*(INDEX($C$9:$J$9,1,$B$49+1)+E225*(INDEX($C$10:$J$10,1,$B$49+1)+E225*(INDEX($C$11:$J$11,1,$B$49+1)+E225*(INDEX($C$12:$J$12,1,$B$49+1)))))))</f>
        <v/>
      </c>
      <c r="H225" s="18">
        <f>$B$44*(F225+$B$52*(G225-F225))</f>
        <v/>
      </c>
      <c r="I225" s="19">
        <f>H225*$B$45/C225</f>
        <v/>
      </c>
      <c r="J225" s="12">
        <f>0.5*$B$40*C225^2</f>
        <v/>
      </c>
      <c r="K225" s="12">
        <f>$B$24*J225*$B$19</f>
        <v/>
      </c>
      <c r="L225" s="12">
        <f>$B$33^2/(J225*$B$19*PI()*$B$43*$B$25)</f>
        <v/>
      </c>
      <c r="M225" s="19">
        <f>K225+L225</f>
        <v/>
      </c>
      <c r="N225" s="19">
        <f>(I225-M225)*C225/$B$33*60</f>
        <v/>
      </c>
      <c r="O225" s="12">
        <f>DEGREES(ASIN(MIN(1,MAX(-1,(I225-M225)/$B$33))))</f>
        <v/>
      </c>
      <c r="P225" s="19">
        <f>M225*C225/$B$33*60</f>
        <v/>
      </c>
      <c r="Q225" s="12">
        <f>DEGREES(ASIN(MIN(1,MAX(-1,M225/$B$33))))</f>
        <v/>
      </c>
    </row>
    <row r="226">
      <c r="A226" s="36" t="n">
        <v>125.5</v>
      </c>
      <c r="B226" s="19">
        <f>A226/SQRT($B$39)</f>
        <v/>
      </c>
      <c r="C226" s="12">
        <f>B226/0.5924838</f>
        <v/>
      </c>
      <c r="D226" s="18">
        <f>C226/($B$46*$B$23)</f>
        <v/>
      </c>
      <c r="E226" s="18">
        <f>D226/$B$47^(1/3)</f>
        <v/>
      </c>
      <c r="F226" s="15">
        <f>INDEX($C$6:$J$6,1,$B$49)+E226*(INDEX($C$7:$J$7,1,$B$49)+E226*(INDEX($C$8:$J$8,1,$B$49)+E226*(INDEX($C$9:$J$9,1,$B$49)+E226*(INDEX($C$10:$J$10,1,$B$49)+E226*(INDEX($C$11:$J$11,1,$B$49)+E226*(INDEX($C$12:$J$12,1,$B$49)))))))</f>
        <v/>
      </c>
      <c r="G226" s="15">
        <f>INDEX($C$6:$J$6,1,$B$49+1)+E226*(INDEX($C$7:$J$7,1,$B$49+1)+E226*(INDEX($C$8:$J$8,1,$B$49+1)+E226*(INDEX($C$9:$J$9,1,$B$49+1)+E226*(INDEX($C$10:$J$10,1,$B$49+1)+E226*(INDEX($C$11:$J$11,1,$B$49+1)+E226*(INDEX($C$12:$J$12,1,$B$49+1)))))))</f>
        <v/>
      </c>
      <c r="H226" s="18">
        <f>$B$44*(F226+$B$52*(G226-F226))</f>
        <v/>
      </c>
      <c r="I226" s="19">
        <f>H226*$B$45/C226</f>
        <v/>
      </c>
      <c r="J226" s="12">
        <f>0.5*$B$40*C226^2</f>
        <v/>
      </c>
      <c r="K226" s="12">
        <f>$B$24*J226*$B$19</f>
        <v/>
      </c>
      <c r="L226" s="12">
        <f>$B$33^2/(J226*$B$19*PI()*$B$43*$B$25)</f>
        <v/>
      </c>
      <c r="M226" s="19">
        <f>K226+L226</f>
        <v/>
      </c>
      <c r="N226" s="19">
        <f>(I226-M226)*C226/$B$33*60</f>
        <v/>
      </c>
      <c r="O226" s="12">
        <f>DEGREES(ASIN(MIN(1,MAX(-1,(I226-M226)/$B$33))))</f>
        <v/>
      </c>
      <c r="P226" s="19">
        <f>M226*C226/$B$33*60</f>
        <v/>
      </c>
      <c r="Q226" s="12">
        <f>DEGREES(ASIN(MIN(1,MAX(-1,M226/$B$33))))</f>
        <v/>
      </c>
    </row>
    <row r="227">
      <c r="A227" s="36" t="n">
        <v>126</v>
      </c>
      <c r="B227" s="19">
        <f>A227/SQRT($B$39)</f>
        <v/>
      </c>
      <c r="C227" s="12">
        <f>B227/0.5924838</f>
        <v/>
      </c>
      <c r="D227" s="18">
        <f>C227/($B$46*$B$23)</f>
        <v/>
      </c>
      <c r="E227" s="18">
        <f>D227/$B$47^(1/3)</f>
        <v/>
      </c>
      <c r="F227" s="15">
        <f>INDEX($C$6:$J$6,1,$B$49)+E227*(INDEX($C$7:$J$7,1,$B$49)+E227*(INDEX($C$8:$J$8,1,$B$49)+E227*(INDEX($C$9:$J$9,1,$B$49)+E227*(INDEX($C$10:$J$10,1,$B$49)+E227*(INDEX($C$11:$J$11,1,$B$49)+E227*(INDEX($C$12:$J$12,1,$B$49)))))))</f>
        <v/>
      </c>
      <c r="G227" s="15">
        <f>INDEX($C$6:$J$6,1,$B$49+1)+E227*(INDEX($C$7:$J$7,1,$B$49+1)+E227*(INDEX($C$8:$J$8,1,$B$49+1)+E227*(INDEX($C$9:$J$9,1,$B$49+1)+E227*(INDEX($C$10:$J$10,1,$B$49+1)+E227*(INDEX($C$11:$J$11,1,$B$49+1)+E227*(INDEX($C$12:$J$12,1,$B$49+1)))))))</f>
        <v/>
      </c>
      <c r="H227" s="18">
        <f>$B$44*(F227+$B$52*(G227-F227))</f>
        <v/>
      </c>
      <c r="I227" s="19">
        <f>H227*$B$45/C227</f>
        <v/>
      </c>
      <c r="J227" s="12">
        <f>0.5*$B$40*C227^2</f>
        <v/>
      </c>
      <c r="K227" s="12">
        <f>$B$24*J227*$B$19</f>
        <v/>
      </c>
      <c r="L227" s="12">
        <f>$B$33^2/(J227*$B$19*PI()*$B$43*$B$25)</f>
        <v/>
      </c>
      <c r="M227" s="19">
        <f>K227+L227</f>
        <v/>
      </c>
      <c r="N227" s="19">
        <f>(I227-M227)*C227/$B$33*60</f>
        <v/>
      </c>
      <c r="O227" s="12">
        <f>DEGREES(ASIN(MIN(1,MAX(-1,(I227-M227)/$B$33))))</f>
        <v/>
      </c>
      <c r="P227" s="19">
        <f>M227*C227/$B$33*60</f>
        <v/>
      </c>
      <c r="Q227" s="12">
        <f>DEGREES(ASIN(MIN(1,MAX(-1,M227/$B$33))))</f>
        <v/>
      </c>
    </row>
    <row r="228">
      <c r="A228" s="36" t="n">
        <v>126.5</v>
      </c>
      <c r="B228" s="19">
        <f>A228/SQRT($B$39)</f>
        <v/>
      </c>
      <c r="C228" s="12">
        <f>B228/0.5924838</f>
        <v/>
      </c>
      <c r="D228" s="18">
        <f>C228/($B$46*$B$23)</f>
        <v/>
      </c>
      <c r="E228" s="18">
        <f>D228/$B$47^(1/3)</f>
        <v/>
      </c>
      <c r="F228" s="15">
        <f>INDEX($C$6:$J$6,1,$B$49)+E228*(INDEX($C$7:$J$7,1,$B$49)+E228*(INDEX($C$8:$J$8,1,$B$49)+E228*(INDEX($C$9:$J$9,1,$B$49)+E228*(INDEX($C$10:$J$10,1,$B$49)+E228*(INDEX($C$11:$J$11,1,$B$49)+E228*(INDEX($C$12:$J$12,1,$B$49)))))))</f>
        <v/>
      </c>
      <c r="G228" s="15">
        <f>INDEX($C$6:$J$6,1,$B$49+1)+E228*(INDEX($C$7:$J$7,1,$B$49+1)+E228*(INDEX($C$8:$J$8,1,$B$49+1)+E228*(INDEX($C$9:$J$9,1,$B$49+1)+E228*(INDEX($C$10:$J$10,1,$B$49+1)+E228*(INDEX($C$11:$J$11,1,$B$49+1)+E228*(INDEX($C$12:$J$12,1,$B$49+1)))))))</f>
        <v/>
      </c>
      <c r="H228" s="18">
        <f>$B$44*(F228+$B$52*(G228-F228))</f>
        <v/>
      </c>
      <c r="I228" s="19">
        <f>H228*$B$45/C228</f>
        <v/>
      </c>
      <c r="J228" s="12">
        <f>0.5*$B$40*C228^2</f>
        <v/>
      </c>
      <c r="K228" s="12">
        <f>$B$24*J228*$B$19</f>
        <v/>
      </c>
      <c r="L228" s="12">
        <f>$B$33^2/(J228*$B$19*PI()*$B$43*$B$25)</f>
        <v/>
      </c>
      <c r="M228" s="19">
        <f>K228+L228</f>
        <v/>
      </c>
      <c r="N228" s="19">
        <f>(I228-M228)*C228/$B$33*60</f>
        <v/>
      </c>
      <c r="O228" s="12">
        <f>DEGREES(ASIN(MIN(1,MAX(-1,(I228-M228)/$B$33))))</f>
        <v/>
      </c>
      <c r="P228" s="19">
        <f>M228*C228/$B$33*60</f>
        <v/>
      </c>
      <c r="Q228" s="12">
        <f>DEGREES(ASIN(MIN(1,MAX(-1,M228/$B$33))))</f>
        <v/>
      </c>
    </row>
    <row r="229">
      <c r="A229" s="36" t="n">
        <v>127</v>
      </c>
      <c r="B229" s="19">
        <f>A229/SQRT($B$39)</f>
        <v/>
      </c>
      <c r="C229" s="12">
        <f>B229/0.5924838</f>
        <v/>
      </c>
      <c r="D229" s="18">
        <f>C229/($B$46*$B$23)</f>
        <v/>
      </c>
      <c r="E229" s="18">
        <f>D229/$B$47^(1/3)</f>
        <v/>
      </c>
      <c r="F229" s="15">
        <f>INDEX($C$6:$J$6,1,$B$49)+E229*(INDEX($C$7:$J$7,1,$B$49)+E229*(INDEX($C$8:$J$8,1,$B$49)+E229*(INDEX($C$9:$J$9,1,$B$49)+E229*(INDEX($C$10:$J$10,1,$B$49)+E229*(INDEX($C$11:$J$11,1,$B$49)+E229*(INDEX($C$12:$J$12,1,$B$49)))))))</f>
        <v/>
      </c>
      <c r="G229" s="15">
        <f>INDEX($C$6:$J$6,1,$B$49+1)+E229*(INDEX($C$7:$J$7,1,$B$49+1)+E229*(INDEX($C$8:$J$8,1,$B$49+1)+E229*(INDEX($C$9:$J$9,1,$B$49+1)+E229*(INDEX($C$10:$J$10,1,$B$49+1)+E229*(INDEX($C$11:$J$11,1,$B$49+1)+E229*(INDEX($C$12:$J$12,1,$B$49+1)))))))</f>
        <v/>
      </c>
      <c r="H229" s="18">
        <f>$B$44*(F229+$B$52*(G229-F229))</f>
        <v/>
      </c>
      <c r="I229" s="19">
        <f>H229*$B$45/C229</f>
        <v/>
      </c>
      <c r="J229" s="12">
        <f>0.5*$B$40*C229^2</f>
        <v/>
      </c>
      <c r="K229" s="12">
        <f>$B$24*J229*$B$19</f>
        <v/>
      </c>
      <c r="L229" s="12">
        <f>$B$33^2/(J229*$B$19*PI()*$B$43*$B$25)</f>
        <v/>
      </c>
      <c r="M229" s="19">
        <f>K229+L229</f>
        <v/>
      </c>
      <c r="N229" s="19">
        <f>(I229-M229)*C229/$B$33*60</f>
        <v/>
      </c>
      <c r="O229" s="12">
        <f>DEGREES(ASIN(MIN(1,MAX(-1,(I229-M229)/$B$33))))</f>
        <v/>
      </c>
      <c r="P229" s="19">
        <f>M229*C229/$B$33*60</f>
        <v/>
      </c>
      <c r="Q229" s="12">
        <f>DEGREES(ASIN(MIN(1,MAX(-1,M229/$B$33))))</f>
        <v/>
      </c>
    </row>
    <row r="230">
      <c r="A230" s="36" t="n">
        <v>127.5</v>
      </c>
      <c r="B230" s="19">
        <f>A230/SQRT($B$39)</f>
        <v/>
      </c>
      <c r="C230" s="12">
        <f>B230/0.5924838</f>
        <v/>
      </c>
      <c r="D230" s="18">
        <f>C230/($B$46*$B$23)</f>
        <v/>
      </c>
      <c r="E230" s="18">
        <f>D230/$B$47^(1/3)</f>
        <v/>
      </c>
      <c r="F230" s="15">
        <f>INDEX($C$6:$J$6,1,$B$49)+E230*(INDEX($C$7:$J$7,1,$B$49)+E230*(INDEX($C$8:$J$8,1,$B$49)+E230*(INDEX($C$9:$J$9,1,$B$49)+E230*(INDEX($C$10:$J$10,1,$B$49)+E230*(INDEX($C$11:$J$11,1,$B$49)+E230*(INDEX($C$12:$J$12,1,$B$49)))))))</f>
        <v/>
      </c>
      <c r="G230" s="15">
        <f>INDEX($C$6:$J$6,1,$B$49+1)+E230*(INDEX($C$7:$J$7,1,$B$49+1)+E230*(INDEX($C$8:$J$8,1,$B$49+1)+E230*(INDEX($C$9:$J$9,1,$B$49+1)+E230*(INDEX($C$10:$J$10,1,$B$49+1)+E230*(INDEX($C$11:$J$11,1,$B$49+1)+E230*(INDEX($C$12:$J$12,1,$B$49+1)))))))</f>
        <v/>
      </c>
      <c r="H230" s="18">
        <f>$B$44*(F230+$B$52*(G230-F230))</f>
        <v/>
      </c>
      <c r="I230" s="19">
        <f>H230*$B$45/C230</f>
        <v/>
      </c>
      <c r="J230" s="12">
        <f>0.5*$B$40*C230^2</f>
        <v/>
      </c>
      <c r="K230" s="12">
        <f>$B$24*J230*$B$19</f>
        <v/>
      </c>
      <c r="L230" s="12">
        <f>$B$33^2/(J230*$B$19*PI()*$B$43*$B$25)</f>
        <v/>
      </c>
      <c r="M230" s="19">
        <f>K230+L230</f>
        <v/>
      </c>
      <c r="N230" s="19">
        <f>(I230-M230)*C230/$B$33*60</f>
        <v/>
      </c>
      <c r="O230" s="12">
        <f>DEGREES(ASIN(MIN(1,MAX(-1,(I230-M230)/$B$33))))</f>
        <v/>
      </c>
      <c r="P230" s="19">
        <f>M230*C230/$B$33*60</f>
        <v/>
      </c>
      <c r="Q230" s="12">
        <f>DEGREES(ASIN(MIN(1,MAX(-1,M230/$B$33))))</f>
        <v/>
      </c>
    </row>
    <row r="231">
      <c r="A231" s="36" t="n">
        <v>128</v>
      </c>
      <c r="B231" s="19">
        <f>A231/SQRT($B$39)</f>
        <v/>
      </c>
      <c r="C231" s="12">
        <f>B231/0.5924838</f>
        <v/>
      </c>
      <c r="D231" s="18">
        <f>C231/($B$46*$B$23)</f>
        <v/>
      </c>
      <c r="E231" s="18">
        <f>D231/$B$47^(1/3)</f>
        <v/>
      </c>
      <c r="F231" s="15">
        <f>INDEX($C$6:$J$6,1,$B$49)+E231*(INDEX($C$7:$J$7,1,$B$49)+E231*(INDEX($C$8:$J$8,1,$B$49)+E231*(INDEX($C$9:$J$9,1,$B$49)+E231*(INDEX($C$10:$J$10,1,$B$49)+E231*(INDEX($C$11:$J$11,1,$B$49)+E231*(INDEX($C$12:$J$12,1,$B$49)))))))</f>
        <v/>
      </c>
      <c r="G231" s="15">
        <f>INDEX($C$6:$J$6,1,$B$49+1)+E231*(INDEX($C$7:$J$7,1,$B$49+1)+E231*(INDEX($C$8:$J$8,1,$B$49+1)+E231*(INDEX($C$9:$J$9,1,$B$49+1)+E231*(INDEX($C$10:$J$10,1,$B$49+1)+E231*(INDEX($C$11:$J$11,1,$B$49+1)+E231*(INDEX($C$12:$J$12,1,$B$49+1)))))))</f>
        <v/>
      </c>
      <c r="H231" s="18">
        <f>$B$44*(F231+$B$52*(G231-F231))</f>
        <v/>
      </c>
      <c r="I231" s="19">
        <f>H231*$B$45/C231</f>
        <v/>
      </c>
      <c r="J231" s="12">
        <f>0.5*$B$40*C231^2</f>
        <v/>
      </c>
      <c r="K231" s="12">
        <f>$B$24*J231*$B$19</f>
        <v/>
      </c>
      <c r="L231" s="12">
        <f>$B$33^2/(J231*$B$19*PI()*$B$43*$B$25)</f>
        <v/>
      </c>
      <c r="M231" s="19">
        <f>K231+L231</f>
        <v/>
      </c>
      <c r="N231" s="19">
        <f>(I231-M231)*C231/$B$33*60</f>
        <v/>
      </c>
      <c r="O231" s="12">
        <f>DEGREES(ASIN(MIN(1,MAX(-1,(I231-M231)/$B$33))))</f>
        <v/>
      </c>
      <c r="P231" s="19">
        <f>M231*C231/$B$33*60</f>
        <v/>
      </c>
      <c r="Q231" s="12">
        <f>DEGREES(ASIN(MIN(1,MAX(-1,M231/$B$33))))</f>
        <v/>
      </c>
    </row>
    <row r="232">
      <c r="A232" s="36" t="n">
        <v>128.5</v>
      </c>
      <c r="B232" s="19">
        <f>A232/SQRT($B$39)</f>
        <v/>
      </c>
      <c r="C232" s="12">
        <f>B232/0.5924838</f>
        <v/>
      </c>
      <c r="D232" s="18">
        <f>C232/($B$46*$B$23)</f>
        <v/>
      </c>
      <c r="E232" s="18">
        <f>D232/$B$47^(1/3)</f>
        <v/>
      </c>
      <c r="F232" s="15">
        <f>INDEX($C$6:$J$6,1,$B$49)+E232*(INDEX($C$7:$J$7,1,$B$49)+E232*(INDEX($C$8:$J$8,1,$B$49)+E232*(INDEX($C$9:$J$9,1,$B$49)+E232*(INDEX($C$10:$J$10,1,$B$49)+E232*(INDEX($C$11:$J$11,1,$B$49)+E232*(INDEX($C$12:$J$12,1,$B$49)))))))</f>
        <v/>
      </c>
      <c r="G232" s="15">
        <f>INDEX($C$6:$J$6,1,$B$49+1)+E232*(INDEX($C$7:$J$7,1,$B$49+1)+E232*(INDEX($C$8:$J$8,1,$B$49+1)+E232*(INDEX($C$9:$J$9,1,$B$49+1)+E232*(INDEX($C$10:$J$10,1,$B$49+1)+E232*(INDEX($C$11:$J$11,1,$B$49+1)+E232*(INDEX($C$12:$J$12,1,$B$49+1)))))))</f>
        <v/>
      </c>
      <c r="H232" s="18">
        <f>$B$44*(F232+$B$52*(G232-F232))</f>
        <v/>
      </c>
      <c r="I232" s="19">
        <f>H232*$B$45/C232</f>
        <v/>
      </c>
      <c r="J232" s="12">
        <f>0.5*$B$40*C232^2</f>
        <v/>
      </c>
      <c r="K232" s="12">
        <f>$B$24*J232*$B$19</f>
        <v/>
      </c>
      <c r="L232" s="12">
        <f>$B$33^2/(J232*$B$19*PI()*$B$43*$B$25)</f>
        <v/>
      </c>
      <c r="M232" s="19">
        <f>K232+L232</f>
        <v/>
      </c>
      <c r="N232" s="19">
        <f>(I232-M232)*C232/$B$33*60</f>
        <v/>
      </c>
      <c r="O232" s="12">
        <f>DEGREES(ASIN(MIN(1,MAX(-1,(I232-M232)/$B$33))))</f>
        <v/>
      </c>
      <c r="P232" s="19">
        <f>M232*C232/$B$33*60</f>
        <v/>
      </c>
      <c r="Q232" s="12">
        <f>DEGREES(ASIN(MIN(1,MAX(-1,M232/$B$33))))</f>
        <v/>
      </c>
    </row>
    <row r="233">
      <c r="A233" s="36" t="n">
        <v>129</v>
      </c>
      <c r="B233" s="19">
        <f>A233/SQRT($B$39)</f>
        <v/>
      </c>
      <c r="C233" s="12">
        <f>B233/0.5924838</f>
        <v/>
      </c>
      <c r="D233" s="18">
        <f>C233/($B$46*$B$23)</f>
        <v/>
      </c>
      <c r="E233" s="18">
        <f>D233/$B$47^(1/3)</f>
        <v/>
      </c>
      <c r="F233" s="15">
        <f>INDEX($C$6:$J$6,1,$B$49)+E233*(INDEX($C$7:$J$7,1,$B$49)+E233*(INDEX($C$8:$J$8,1,$B$49)+E233*(INDEX($C$9:$J$9,1,$B$49)+E233*(INDEX($C$10:$J$10,1,$B$49)+E233*(INDEX($C$11:$J$11,1,$B$49)+E233*(INDEX($C$12:$J$12,1,$B$49)))))))</f>
        <v/>
      </c>
      <c r="G233" s="15">
        <f>INDEX($C$6:$J$6,1,$B$49+1)+E233*(INDEX($C$7:$J$7,1,$B$49+1)+E233*(INDEX($C$8:$J$8,1,$B$49+1)+E233*(INDEX($C$9:$J$9,1,$B$49+1)+E233*(INDEX($C$10:$J$10,1,$B$49+1)+E233*(INDEX($C$11:$J$11,1,$B$49+1)+E233*(INDEX($C$12:$J$12,1,$B$49+1)))))))</f>
        <v/>
      </c>
      <c r="H233" s="18">
        <f>$B$44*(F233+$B$52*(G233-F233))</f>
        <v/>
      </c>
      <c r="I233" s="19">
        <f>H233*$B$45/C233</f>
        <v/>
      </c>
      <c r="J233" s="12">
        <f>0.5*$B$40*C233^2</f>
        <v/>
      </c>
      <c r="K233" s="12">
        <f>$B$24*J233*$B$19</f>
        <v/>
      </c>
      <c r="L233" s="12">
        <f>$B$33^2/(J233*$B$19*PI()*$B$43*$B$25)</f>
        <v/>
      </c>
      <c r="M233" s="19">
        <f>K233+L233</f>
        <v/>
      </c>
      <c r="N233" s="19">
        <f>(I233-M233)*C233/$B$33*60</f>
        <v/>
      </c>
      <c r="O233" s="12">
        <f>DEGREES(ASIN(MIN(1,MAX(-1,(I233-M233)/$B$33))))</f>
        <v/>
      </c>
      <c r="P233" s="19">
        <f>M233*C233/$B$33*60</f>
        <v/>
      </c>
      <c r="Q233" s="12">
        <f>DEGREES(ASIN(MIN(1,MAX(-1,M233/$B$33))))</f>
        <v/>
      </c>
    </row>
    <row r="234">
      <c r="A234" s="36" t="n">
        <v>129.5</v>
      </c>
      <c r="B234" s="19">
        <f>A234/SQRT($B$39)</f>
        <v/>
      </c>
      <c r="C234" s="12">
        <f>B234/0.5924838</f>
        <v/>
      </c>
      <c r="D234" s="18">
        <f>C234/($B$46*$B$23)</f>
        <v/>
      </c>
      <c r="E234" s="18">
        <f>D234/$B$47^(1/3)</f>
        <v/>
      </c>
      <c r="F234" s="15">
        <f>INDEX($C$6:$J$6,1,$B$49)+E234*(INDEX($C$7:$J$7,1,$B$49)+E234*(INDEX($C$8:$J$8,1,$B$49)+E234*(INDEX($C$9:$J$9,1,$B$49)+E234*(INDEX($C$10:$J$10,1,$B$49)+E234*(INDEX($C$11:$J$11,1,$B$49)+E234*(INDEX($C$12:$J$12,1,$B$49)))))))</f>
        <v/>
      </c>
      <c r="G234" s="15">
        <f>INDEX($C$6:$J$6,1,$B$49+1)+E234*(INDEX($C$7:$J$7,1,$B$49+1)+E234*(INDEX($C$8:$J$8,1,$B$49+1)+E234*(INDEX($C$9:$J$9,1,$B$49+1)+E234*(INDEX($C$10:$J$10,1,$B$49+1)+E234*(INDEX($C$11:$J$11,1,$B$49+1)+E234*(INDEX($C$12:$J$12,1,$B$49+1)))))))</f>
        <v/>
      </c>
      <c r="H234" s="18">
        <f>$B$44*(F234+$B$52*(G234-F234))</f>
        <v/>
      </c>
      <c r="I234" s="19">
        <f>H234*$B$45/C234</f>
        <v/>
      </c>
      <c r="J234" s="12">
        <f>0.5*$B$40*C234^2</f>
        <v/>
      </c>
      <c r="K234" s="12">
        <f>$B$24*J234*$B$19</f>
        <v/>
      </c>
      <c r="L234" s="12">
        <f>$B$33^2/(J234*$B$19*PI()*$B$43*$B$25)</f>
        <v/>
      </c>
      <c r="M234" s="19">
        <f>K234+L234</f>
        <v/>
      </c>
      <c r="N234" s="19">
        <f>(I234-M234)*C234/$B$33*60</f>
        <v/>
      </c>
      <c r="O234" s="12">
        <f>DEGREES(ASIN(MIN(1,MAX(-1,(I234-M234)/$B$33))))</f>
        <v/>
      </c>
      <c r="P234" s="19">
        <f>M234*C234/$B$33*60</f>
        <v/>
      </c>
      <c r="Q234" s="12">
        <f>DEGREES(ASIN(MIN(1,MAX(-1,M234/$B$33))))</f>
        <v/>
      </c>
    </row>
    <row r="235">
      <c r="A235" s="36" t="n">
        <v>130</v>
      </c>
      <c r="B235" s="19">
        <f>A235/SQRT($B$39)</f>
        <v/>
      </c>
      <c r="C235" s="12">
        <f>B235/0.5924838</f>
        <v/>
      </c>
      <c r="D235" s="18">
        <f>C235/($B$46*$B$23)</f>
        <v/>
      </c>
      <c r="E235" s="18">
        <f>D235/$B$47^(1/3)</f>
        <v/>
      </c>
      <c r="F235" s="15">
        <f>INDEX($C$6:$J$6,1,$B$49)+E235*(INDEX($C$7:$J$7,1,$B$49)+E235*(INDEX($C$8:$J$8,1,$B$49)+E235*(INDEX($C$9:$J$9,1,$B$49)+E235*(INDEX($C$10:$J$10,1,$B$49)+E235*(INDEX($C$11:$J$11,1,$B$49)+E235*(INDEX($C$12:$J$12,1,$B$49)))))))</f>
        <v/>
      </c>
      <c r="G235" s="15">
        <f>INDEX($C$6:$J$6,1,$B$49+1)+E235*(INDEX($C$7:$J$7,1,$B$49+1)+E235*(INDEX($C$8:$J$8,1,$B$49+1)+E235*(INDEX($C$9:$J$9,1,$B$49+1)+E235*(INDEX($C$10:$J$10,1,$B$49+1)+E235*(INDEX($C$11:$J$11,1,$B$49+1)+E235*(INDEX($C$12:$J$12,1,$B$49+1)))))))</f>
        <v/>
      </c>
      <c r="H235" s="18">
        <f>$B$44*(F235+$B$52*(G235-F235))</f>
        <v/>
      </c>
      <c r="I235" s="19">
        <f>H235*$B$45/C235</f>
        <v/>
      </c>
      <c r="J235" s="12">
        <f>0.5*$B$40*C235^2</f>
        <v/>
      </c>
      <c r="K235" s="12">
        <f>$B$24*J235*$B$19</f>
        <v/>
      </c>
      <c r="L235" s="12">
        <f>$B$33^2/(J235*$B$19*PI()*$B$43*$B$25)</f>
        <v/>
      </c>
      <c r="M235" s="19">
        <f>K235+L235</f>
        <v/>
      </c>
      <c r="N235" s="19">
        <f>(I235-M235)*C235/$B$33*60</f>
        <v/>
      </c>
      <c r="O235" s="12">
        <f>DEGREES(ASIN(MIN(1,MAX(-1,(I235-M235)/$B$33))))</f>
        <v/>
      </c>
      <c r="P235" s="19">
        <f>M235*C235/$B$33*60</f>
        <v/>
      </c>
      <c r="Q235" s="12">
        <f>DEGREES(ASIN(MIN(1,MAX(-1,M235/$B$33))))</f>
        <v/>
      </c>
    </row>
    <row r="236">
      <c r="A236" s="36" t="n">
        <v>130.5</v>
      </c>
      <c r="B236" s="19">
        <f>A236/SQRT($B$39)</f>
        <v/>
      </c>
      <c r="C236" s="12">
        <f>B236/0.5924838</f>
        <v/>
      </c>
      <c r="D236" s="18">
        <f>C236/($B$46*$B$23)</f>
        <v/>
      </c>
      <c r="E236" s="18">
        <f>D236/$B$47^(1/3)</f>
        <v/>
      </c>
      <c r="F236" s="15">
        <f>INDEX($C$6:$J$6,1,$B$49)+E236*(INDEX($C$7:$J$7,1,$B$49)+E236*(INDEX($C$8:$J$8,1,$B$49)+E236*(INDEX($C$9:$J$9,1,$B$49)+E236*(INDEX($C$10:$J$10,1,$B$49)+E236*(INDEX($C$11:$J$11,1,$B$49)+E236*(INDEX($C$12:$J$12,1,$B$49)))))))</f>
        <v/>
      </c>
      <c r="G236" s="15">
        <f>INDEX($C$6:$J$6,1,$B$49+1)+E236*(INDEX($C$7:$J$7,1,$B$49+1)+E236*(INDEX($C$8:$J$8,1,$B$49+1)+E236*(INDEX($C$9:$J$9,1,$B$49+1)+E236*(INDEX($C$10:$J$10,1,$B$49+1)+E236*(INDEX($C$11:$J$11,1,$B$49+1)+E236*(INDEX($C$12:$J$12,1,$B$49+1)))))))</f>
        <v/>
      </c>
      <c r="H236" s="18">
        <f>$B$44*(F236+$B$52*(G236-F236))</f>
        <v/>
      </c>
      <c r="I236" s="19">
        <f>H236*$B$45/C236</f>
        <v/>
      </c>
      <c r="J236" s="12">
        <f>0.5*$B$40*C236^2</f>
        <v/>
      </c>
      <c r="K236" s="12">
        <f>$B$24*J236*$B$19</f>
        <v/>
      </c>
      <c r="L236" s="12">
        <f>$B$33^2/(J236*$B$19*PI()*$B$43*$B$25)</f>
        <v/>
      </c>
      <c r="M236" s="19">
        <f>K236+L236</f>
        <v/>
      </c>
      <c r="N236" s="19">
        <f>(I236-M236)*C236/$B$33*60</f>
        <v/>
      </c>
      <c r="O236" s="12">
        <f>DEGREES(ASIN(MIN(1,MAX(-1,(I236-M236)/$B$33))))</f>
        <v/>
      </c>
      <c r="P236" s="19">
        <f>M236*C236/$B$33*60</f>
        <v/>
      </c>
      <c r="Q236" s="12">
        <f>DEGREES(ASIN(MIN(1,MAX(-1,M236/$B$33))))</f>
        <v/>
      </c>
    </row>
    <row r="237">
      <c r="A237" s="36" t="n">
        <v>131</v>
      </c>
      <c r="B237" s="19">
        <f>A237/SQRT($B$39)</f>
        <v/>
      </c>
      <c r="C237" s="12">
        <f>B237/0.5924838</f>
        <v/>
      </c>
      <c r="D237" s="18">
        <f>C237/($B$46*$B$23)</f>
        <v/>
      </c>
      <c r="E237" s="18">
        <f>D237/$B$47^(1/3)</f>
        <v/>
      </c>
      <c r="F237" s="15">
        <f>INDEX($C$6:$J$6,1,$B$49)+E237*(INDEX($C$7:$J$7,1,$B$49)+E237*(INDEX($C$8:$J$8,1,$B$49)+E237*(INDEX($C$9:$J$9,1,$B$49)+E237*(INDEX($C$10:$J$10,1,$B$49)+E237*(INDEX($C$11:$J$11,1,$B$49)+E237*(INDEX($C$12:$J$12,1,$B$49)))))))</f>
        <v/>
      </c>
      <c r="G237" s="15">
        <f>INDEX($C$6:$J$6,1,$B$49+1)+E237*(INDEX($C$7:$J$7,1,$B$49+1)+E237*(INDEX($C$8:$J$8,1,$B$49+1)+E237*(INDEX($C$9:$J$9,1,$B$49+1)+E237*(INDEX($C$10:$J$10,1,$B$49+1)+E237*(INDEX($C$11:$J$11,1,$B$49+1)+E237*(INDEX($C$12:$J$12,1,$B$49+1)))))))</f>
        <v/>
      </c>
      <c r="H237" s="18">
        <f>$B$44*(F237+$B$52*(G237-F237))</f>
        <v/>
      </c>
      <c r="I237" s="19">
        <f>H237*$B$45/C237</f>
        <v/>
      </c>
      <c r="J237" s="12">
        <f>0.5*$B$40*C237^2</f>
        <v/>
      </c>
      <c r="K237" s="12">
        <f>$B$24*J237*$B$19</f>
        <v/>
      </c>
      <c r="L237" s="12">
        <f>$B$33^2/(J237*$B$19*PI()*$B$43*$B$25)</f>
        <v/>
      </c>
      <c r="M237" s="19">
        <f>K237+L237</f>
        <v/>
      </c>
      <c r="N237" s="19">
        <f>(I237-M237)*C237/$B$33*60</f>
        <v/>
      </c>
      <c r="O237" s="12">
        <f>DEGREES(ASIN(MIN(1,MAX(-1,(I237-M237)/$B$33))))</f>
        <v/>
      </c>
      <c r="P237" s="19">
        <f>M237*C237/$B$33*60</f>
        <v/>
      </c>
      <c r="Q237" s="12">
        <f>DEGREES(ASIN(MIN(1,MAX(-1,M237/$B$33))))</f>
        <v/>
      </c>
    </row>
    <row r="238">
      <c r="A238" s="36" t="n">
        <v>131.5</v>
      </c>
      <c r="B238" s="19">
        <f>A238/SQRT($B$39)</f>
        <v/>
      </c>
      <c r="C238" s="12">
        <f>B238/0.5924838</f>
        <v/>
      </c>
      <c r="D238" s="18">
        <f>C238/($B$46*$B$23)</f>
        <v/>
      </c>
      <c r="E238" s="18">
        <f>D238/$B$47^(1/3)</f>
        <v/>
      </c>
      <c r="F238" s="15">
        <f>INDEX($C$6:$J$6,1,$B$49)+E238*(INDEX($C$7:$J$7,1,$B$49)+E238*(INDEX($C$8:$J$8,1,$B$49)+E238*(INDEX($C$9:$J$9,1,$B$49)+E238*(INDEX($C$10:$J$10,1,$B$49)+E238*(INDEX($C$11:$J$11,1,$B$49)+E238*(INDEX($C$12:$J$12,1,$B$49)))))))</f>
        <v/>
      </c>
      <c r="G238" s="15">
        <f>INDEX($C$6:$J$6,1,$B$49+1)+E238*(INDEX($C$7:$J$7,1,$B$49+1)+E238*(INDEX($C$8:$J$8,1,$B$49+1)+E238*(INDEX($C$9:$J$9,1,$B$49+1)+E238*(INDEX($C$10:$J$10,1,$B$49+1)+E238*(INDEX($C$11:$J$11,1,$B$49+1)+E238*(INDEX($C$12:$J$12,1,$B$49+1)))))))</f>
        <v/>
      </c>
      <c r="H238" s="18">
        <f>$B$44*(F238+$B$52*(G238-F238))</f>
        <v/>
      </c>
      <c r="I238" s="19">
        <f>H238*$B$45/C238</f>
        <v/>
      </c>
      <c r="J238" s="12">
        <f>0.5*$B$40*C238^2</f>
        <v/>
      </c>
      <c r="K238" s="12">
        <f>$B$24*J238*$B$19</f>
        <v/>
      </c>
      <c r="L238" s="12">
        <f>$B$33^2/(J238*$B$19*PI()*$B$43*$B$25)</f>
        <v/>
      </c>
      <c r="M238" s="19">
        <f>K238+L238</f>
        <v/>
      </c>
      <c r="N238" s="19">
        <f>(I238-M238)*C238/$B$33*60</f>
        <v/>
      </c>
      <c r="O238" s="12">
        <f>DEGREES(ASIN(MIN(1,MAX(-1,(I238-M238)/$B$33))))</f>
        <v/>
      </c>
      <c r="P238" s="19">
        <f>M238*C238/$B$33*60</f>
        <v/>
      </c>
      <c r="Q238" s="12">
        <f>DEGREES(ASIN(MIN(1,MAX(-1,M238/$B$33))))</f>
        <v/>
      </c>
    </row>
    <row r="239">
      <c r="A239" s="36" t="n">
        <v>132</v>
      </c>
      <c r="B239" s="19">
        <f>A239/SQRT($B$39)</f>
        <v/>
      </c>
      <c r="C239" s="12">
        <f>B239/0.5924838</f>
        <v/>
      </c>
      <c r="D239" s="18">
        <f>C239/($B$46*$B$23)</f>
        <v/>
      </c>
      <c r="E239" s="18">
        <f>D239/$B$47^(1/3)</f>
        <v/>
      </c>
      <c r="F239" s="15">
        <f>INDEX($C$6:$J$6,1,$B$49)+E239*(INDEX($C$7:$J$7,1,$B$49)+E239*(INDEX($C$8:$J$8,1,$B$49)+E239*(INDEX($C$9:$J$9,1,$B$49)+E239*(INDEX($C$10:$J$10,1,$B$49)+E239*(INDEX($C$11:$J$11,1,$B$49)+E239*(INDEX($C$12:$J$12,1,$B$49)))))))</f>
        <v/>
      </c>
      <c r="G239" s="15">
        <f>INDEX($C$6:$J$6,1,$B$49+1)+E239*(INDEX($C$7:$J$7,1,$B$49+1)+E239*(INDEX($C$8:$J$8,1,$B$49+1)+E239*(INDEX($C$9:$J$9,1,$B$49+1)+E239*(INDEX($C$10:$J$10,1,$B$49+1)+E239*(INDEX($C$11:$J$11,1,$B$49+1)+E239*(INDEX($C$12:$J$12,1,$B$49+1)))))))</f>
        <v/>
      </c>
      <c r="H239" s="18">
        <f>$B$44*(F239+$B$52*(G239-F239))</f>
        <v/>
      </c>
      <c r="I239" s="19">
        <f>H239*$B$45/C239</f>
        <v/>
      </c>
      <c r="J239" s="12">
        <f>0.5*$B$40*C239^2</f>
        <v/>
      </c>
      <c r="K239" s="12">
        <f>$B$24*J239*$B$19</f>
        <v/>
      </c>
      <c r="L239" s="12">
        <f>$B$33^2/(J239*$B$19*PI()*$B$43*$B$25)</f>
        <v/>
      </c>
      <c r="M239" s="19">
        <f>K239+L239</f>
        <v/>
      </c>
      <c r="N239" s="19">
        <f>(I239-M239)*C239/$B$33*60</f>
        <v/>
      </c>
      <c r="O239" s="12">
        <f>DEGREES(ASIN(MIN(1,MAX(-1,(I239-M239)/$B$33))))</f>
        <v/>
      </c>
      <c r="P239" s="19">
        <f>M239*C239/$B$33*60</f>
        <v/>
      </c>
      <c r="Q239" s="12">
        <f>DEGREES(ASIN(MIN(1,MAX(-1,M239/$B$33))))</f>
        <v/>
      </c>
    </row>
    <row r="240">
      <c r="A240" s="36" t="n">
        <v>132.5</v>
      </c>
      <c r="B240" s="19">
        <f>A240/SQRT($B$39)</f>
        <v/>
      </c>
      <c r="C240" s="12">
        <f>B240/0.5924838</f>
        <v/>
      </c>
      <c r="D240" s="18">
        <f>C240/($B$46*$B$23)</f>
        <v/>
      </c>
      <c r="E240" s="18">
        <f>D240/$B$47^(1/3)</f>
        <v/>
      </c>
      <c r="F240" s="15">
        <f>INDEX($C$6:$J$6,1,$B$49)+E240*(INDEX($C$7:$J$7,1,$B$49)+E240*(INDEX($C$8:$J$8,1,$B$49)+E240*(INDEX($C$9:$J$9,1,$B$49)+E240*(INDEX($C$10:$J$10,1,$B$49)+E240*(INDEX($C$11:$J$11,1,$B$49)+E240*(INDEX($C$12:$J$12,1,$B$49)))))))</f>
        <v/>
      </c>
      <c r="G240" s="15">
        <f>INDEX($C$6:$J$6,1,$B$49+1)+E240*(INDEX($C$7:$J$7,1,$B$49+1)+E240*(INDEX($C$8:$J$8,1,$B$49+1)+E240*(INDEX($C$9:$J$9,1,$B$49+1)+E240*(INDEX($C$10:$J$10,1,$B$49+1)+E240*(INDEX($C$11:$J$11,1,$B$49+1)+E240*(INDEX($C$12:$J$12,1,$B$49+1)))))))</f>
        <v/>
      </c>
      <c r="H240" s="18">
        <f>$B$44*(F240+$B$52*(G240-F240))</f>
        <v/>
      </c>
      <c r="I240" s="19">
        <f>H240*$B$45/C240</f>
        <v/>
      </c>
      <c r="J240" s="12">
        <f>0.5*$B$40*C240^2</f>
        <v/>
      </c>
      <c r="K240" s="12">
        <f>$B$24*J240*$B$19</f>
        <v/>
      </c>
      <c r="L240" s="12">
        <f>$B$33^2/(J240*$B$19*PI()*$B$43*$B$25)</f>
        <v/>
      </c>
      <c r="M240" s="19">
        <f>K240+L240</f>
        <v/>
      </c>
      <c r="N240" s="19">
        <f>(I240-M240)*C240/$B$33*60</f>
        <v/>
      </c>
      <c r="O240" s="12">
        <f>DEGREES(ASIN(MIN(1,MAX(-1,(I240-M240)/$B$33))))</f>
        <v/>
      </c>
      <c r="P240" s="19">
        <f>M240*C240/$B$33*60</f>
        <v/>
      </c>
      <c r="Q240" s="12">
        <f>DEGREES(ASIN(MIN(1,MAX(-1,M240/$B$33))))</f>
        <v/>
      </c>
    </row>
    <row r="241">
      <c r="A241" s="36" t="n">
        <v>133</v>
      </c>
      <c r="B241" s="19">
        <f>A241/SQRT($B$39)</f>
        <v/>
      </c>
      <c r="C241" s="12">
        <f>B241/0.5924838</f>
        <v/>
      </c>
      <c r="D241" s="18">
        <f>C241/($B$46*$B$23)</f>
        <v/>
      </c>
      <c r="E241" s="18">
        <f>D241/$B$47^(1/3)</f>
        <v/>
      </c>
      <c r="F241" s="15">
        <f>INDEX($C$6:$J$6,1,$B$49)+E241*(INDEX($C$7:$J$7,1,$B$49)+E241*(INDEX($C$8:$J$8,1,$B$49)+E241*(INDEX($C$9:$J$9,1,$B$49)+E241*(INDEX($C$10:$J$10,1,$B$49)+E241*(INDEX($C$11:$J$11,1,$B$49)+E241*(INDEX($C$12:$J$12,1,$B$49)))))))</f>
        <v/>
      </c>
      <c r="G241" s="15">
        <f>INDEX($C$6:$J$6,1,$B$49+1)+E241*(INDEX($C$7:$J$7,1,$B$49+1)+E241*(INDEX($C$8:$J$8,1,$B$49+1)+E241*(INDEX($C$9:$J$9,1,$B$49+1)+E241*(INDEX($C$10:$J$10,1,$B$49+1)+E241*(INDEX($C$11:$J$11,1,$B$49+1)+E241*(INDEX($C$12:$J$12,1,$B$49+1)))))))</f>
        <v/>
      </c>
      <c r="H241" s="18">
        <f>$B$44*(F241+$B$52*(G241-F241))</f>
        <v/>
      </c>
      <c r="I241" s="19">
        <f>H241*$B$45/C241</f>
        <v/>
      </c>
      <c r="J241" s="12">
        <f>0.5*$B$40*C241^2</f>
        <v/>
      </c>
      <c r="K241" s="12">
        <f>$B$24*J241*$B$19</f>
        <v/>
      </c>
      <c r="L241" s="12">
        <f>$B$33^2/(J241*$B$19*PI()*$B$43*$B$25)</f>
        <v/>
      </c>
      <c r="M241" s="19">
        <f>K241+L241</f>
        <v/>
      </c>
      <c r="N241" s="19">
        <f>(I241-M241)*C241/$B$33*60</f>
        <v/>
      </c>
      <c r="O241" s="12">
        <f>DEGREES(ASIN(MIN(1,MAX(-1,(I241-M241)/$B$33))))</f>
        <v/>
      </c>
      <c r="P241" s="19">
        <f>M241*C241/$B$33*60</f>
        <v/>
      </c>
      <c r="Q241" s="12">
        <f>DEGREES(ASIN(MIN(1,MAX(-1,M241/$B$33))))</f>
        <v/>
      </c>
    </row>
    <row r="242">
      <c r="A242" s="36" t="n">
        <v>133.5</v>
      </c>
      <c r="B242" s="19">
        <f>A242/SQRT($B$39)</f>
        <v/>
      </c>
      <c r="C242" s="12">
        <f>B242/0.5924838</f>
        <v/>
      </c>
      <c r="D242" s="18">
        <f>C242/($B$46*$B$23)</f>
        <v/>
      </c>
      <c r="E242" s="18">
        <f>D242/$B$47^(1/3)</f>
        <v/>
      </c>
      <c r="F242" s="15">
        <f>INDEX($C$6:$J$6,1,$B$49)+E242*(INDEX($C$7:$J$7,1,$B$49)+E242*(INDEX($C$8:$J$8,1,$B$49)+E242*(INDEX($C$9:$J$9,1,$B$49)+E242*(INDEX($C$10:$J$10,1,$B$49)+E242*(INDEX($C$11:$J$11,1,$B$49)+E242*(INDEX($C$12:$J$12,1,$B$49)))))))</f>
        <v/>
      </c>
      <c r="G242" s="15">
        <f>INDEX($C$6:$J$6,1,$B$49+1)+E242*(INDEX($C$7:$J$7,1,$B$49+1)+E242*(INDEX($C$8:$J$8,1,$B$49+1)+E242*(INDEX($C$9:$J$9,1,$B$49+1)+E242*(INDEX($C$10:$J$10,1,$B$49+1)+E242*(INDEX($C$11:$J$11,1,$B$49+1)+E242*(INDEX($C$12:$J$12,1,$B$49+1)))))))</f>
        <v/>
      </c>
      <c r="H242" s="18">
        <f>$B$44*(F242+$B$52*(G242-F242))</f>
        <v/>
      </c>
      <c r="I242" s="19">
        <f>H242*$B$45/C242</f>
        <v/>
      </c>
      <c r="J242" s="12">
        <f>0.5*$B$40*C242^2</f>
        <v/>
      </c>
      <c r="K242" s="12">
        <f>$B$24*J242*$B$19</f>
        <v/>
      </c>
      <c r="L242" s="12">
        <f>$B$33^2/(J242*$B$19*PI()*$B$43*$B$25)</f>
        <v/>
      </c>
      <c r="M242" s="19">
        <f>K242+L242</f>
        <v/>
      </c>
      <c r="N242" s="19">
        <f>(I242-M242)*C242/$B$33*60</f>
        <v/>
      </c>
      <c r="O242" s="12">
        <f>DEGREES(ASIN(MIN(1,MAX(-1,(I242-M242)/$B$33))))</f>
        <v/>
      </c>
      <c r="P242" s="19">
        <f>M242*C242/$B$33*60</f>
        <v/>
      </c>
      <c r="Q242" s="12">
        <f>DEGREES(ASIN(MIN(1,MAX(-1,M242/$B$33))))</f>
        <v/>
      </c>
    </row>
    <row r="243">
      <c r="A243" s="36" t="n">
        <v>134</v>
      </c>
      <c r="B243" s="19">
        <f>A243/SQRT($B$39)</f>
        <v/>
      </c>
      <c r="C243" s="12">
        <f>B243/0.5924838</f>
        <v/>
      </c>
      <c r="D243" s="18">
        <f>C243/($B$46*$B$23)</f>
        <v/>
      </c>
      <c r="E243" s="18">
        <f>D243/$B$47^(1/3)</f>
        <v/>
      </c>
      <c r="F243" s="15">
        <f>INDEX($C$6:$J$6,1,$B$49)+E243*(INDEX($C$7:$J$7,1,$B$49)+E243*(INDEX($C$8:$J$8,1,$B$49)+E243*(INDEX($C$9:$J$9,1,$B$49)+E243*(INDEX($C$10:$J$10,1,$B$49)+E243*(INDEX($C$11:$J$11,1,$B$49)+E243*(INDEX($C$12:$J$12,1,$B$49)))))))</f>
        <v/>
      </c>
      <c r="G243" s="15">
        <f>INDEX($C$6:$J$6,1,$B$49+1)+E243*(INDEX($C$7:$J$7,1,$B$49+1)+E243*(INDEX($C$8:$J$8,1,$B$49+1)+E243*(INDEX($C$9:$J$9,1,$B$49+1)+E243*(INDEX($C$10:$J$10,1,$B$49+1)+E243*(INDEX($C$11:$J$11,1,$B$49+1)+E243*(INDEX($C$12:$J$12,1,$B$49+1)))))))</f>
        <v/>
      </c>
      <c r="H243" s="18">
        <f>$B$44*(F243+$B$52*(G243-F243))</f>
        <v/>
      </c>
      <c r="I243" s="19">
        <f>H243*$B$45/C243</f>
        <v/>
      </c>
      <c r="J243" s="12">
        <f>0.5*$B$40*C243^2</f>
        <v/>
      </c>
      <c r="K243" s="12">
        <f>$B$24*J243*$B$19</f>
        <v/>
      </c>
      <c r="L243" s="12">
        <f>$B$33^2/(J243*$B$19*PI()*$B$43*$B$25)</f>
        <v/>
      </c>
      <c r="M243" s="19">
        <f>K243+L243</f>
        <v/>
      </c>
      <c r="N243" s="19">
        <f>(I243-M243)*C243/$B$33*60</f>
        <v/>
      </c>
      <c r="O243" s="12">
        <f>DEGREES(ASIN(MIN(1,MAX(-1,(I243-M243)/$B$33))))</f>
        <v/>
      </c>
      <c r="P243" s="19">
        <f>M243*C243/$B$33*60</f>
        <v/>
      </c>
      <c r="Q243" s="12">
        <f>DEGREES(ASIN(MIN(1,MAX(-1,M243/$B$33))))</f>
        <v/>
      </c>
    </row>
    <row r="244">
      <c r="A244" s="36" t="n">
        <v>134.5</v>
      </c>
      <c r="B244" s="19">
        <f>A244/SQRT($B$39)</f>
        <v/>
      </c>
      <c r="C244" s="12">
        <f>B244/0.5924838</f>
        <v/>
      </c>
      <c r="D244" s="18">
        <f>C244/($B$46*$B$23)</f>
        <v/>
      </c>
      <c r="E244" s="18">
        <f>D244/$B$47^(1/3)</f>
        <v/>
      </c>
      <c r="F244" s="15">
        <f>INDEX($C$6:$J$6,1,$B$49)+E244*(INDEX($C$7:$J$7,1,$B$49)+E244*(INDEX($C$8:$J$8,1,$B$49)+E244*(INDEX($C$9:$J$9,1,$B$49)+E244*(INDEX($C$10:$J$10,1,$B$49)+E244*(INDEX($C$11:$J$11,1,$B$49)+E244*(INDEX($C$12:$J$12,1,$B$49)))))))</f>
        <v/>
      </c>
      <c r="G244" s="15">
        <f>INDEX($C$6:$J$6,1,$B$49+1)+E244*(INDEX($C$7:$J$7,1,$B$49+1)+E244*(INDEX($C$8:$J$8,1,$B$49+1)+E244*(INDEX($C$9:$J$9,1,$B$49+1)+E244*(INDEX($C$10:$J$10,1,$B$49+1)+E244*(INDEX($C$11:$J$11,1,$B$49+1)+E244*(INDEX($C$12:$J$12,1,$B$49+1)))))))</f>
        <v/>
      </c>
      <c r="H244" s="18">
        <f>$B$44*(F244+$B$52*(G244-F244))</f>
        <v/>
      </c>
      <c r="I244" s="19">
        <f>H244*$B$45/C244</f>
        <v/>
      </c>
      <c r="J244" s="12">
        <f>0.5*$B$40*C244^2</f>
        <v/>
      </c>
      <c r="K244" s="12">
        <f>$B$24*J244*$B$19</f>
        <v/>
      </c>
      <c r="L244" s="12">
        <f>$B$33^2/(J244*$B$19*PI()*$B$43*$B$25)</f>
        <v/>
      </c>
      <c r="M244" s="19">
        <f>K244+L244</f>
        <v/>
      </c>
      <c r="N244" s="19">
        <f>(I244-M244)*C244/$B$33*60</f>
        <v/>
      </c>
      <c r="O244" s="12">
        <f>DEGREES(ASIN(MIN(1,MAX(-1,(I244-M244)/$B$33))))</f>
        <v/>
      </c>
      <c r="P244" s="19">
        <f>M244*C244/$B$33*60</f>
        <v/>
      </c>
      <c r="Q244" s="12">
        <f>DEGREES(ASIN(MIN(1,MAX(-1,M244/$B$33))))</f>
        <v/>
      </c>
    </row>
    <row r="245">
      <c r="A245" s="36" t="n">
        <v>135</v>
      </c>
      <c r="B245" s="19">
        <f>A245/SQRT($B$39)</f>
        <v/>
      </c>
      <c r="C245" s="12">
        <f>B245/0.5924838</f>
        <v/>
      </c>
      <c r="D245" s="18">
        <f>C245/($B$46*$B$23)</f>
        <v/>
      </c>
      <c r="E245" s="18">
        <f>D245/$B$47^(1/3)</f>
        <v/>
      </c>
      <c r="F245" s="15">
        <f>INDEX($C$6:$J$6,1,$B$49)+E245*(INDEX($C$7:$J$7,1,$B$49)+E245*(INDEX($C$8:$J$8,1,$B$49)+E245*(INDEX($C$9:$J$9,1,$B$49)+E245*(INDEX($C$10:$J$10,1,$B$49)+E245*(INDEX($C$11:$J$11,1,$B$49)+E245*(INDEX($C$12:$J$12,1,$B$49)))))))</f>
        <v/>
      </c>
      <c r="G245" s="15">
        <f>INDEX($C$6:$J$6,1,$B$49+1)+E245*(INDEX($C$7:$J$7,1,$B$49+1)+E245*(INDEX($C$8:$J$8,1,$B$49+1)+E245*(INDEX($C$9:$J$9,1,$B$49+1)+E245*(INDEX($C$10:$J$10,1,$B$49+1)+E245*(INDEX($C$11:$J$11,1,$B$49+1)+E245*(INDEX($C$12:$J$12,1,$B$49+1)))))))</f>
        <v/>
      </c>
      <c r="H245" s="18">
        <f>$B$44*(F245+$B$52*(G245-F245))</f>
        <v/>
      </c>
      <c r="I245" s="19">
        <f>H245*$B$45/C245</f>
        <v/>
      </c>
      <c r="J245" s="12">
        <f>0.5*$B$40*C245^2</f>
        <v/>
      </c>
      <c r="K245" s="12">
        <f>$B$24*J245*$B$19</f>
        <v/>
      </c>
      <c r="L245" s="12">
        <f>$B$33^2/(J245*$B$19*PI()*$B$43*$B$25)</f>
        <v/>
      </c>
      <c r="M245" s="19">
        <f>K245+L245</f>
        <v/>
      </c>
      <c r="N245" s="19">
        <f>(I245-M245)*C245/$B$33*60</f>
        <v/>
      </c>
      <c r="O245" s="12">
        <f>DEGREES(ASIN(MIN(1,MAX(-1,(I245-M245)/$B$33))))</f>
        <v/>
      </c>
      <c r="P245" s="19">
        <f>M245*C245/$B$33*60</f>
        <v/>
      </c>
      <c r="Q245" s="12">
        <f>DEGREES(ASIN(MIN(1,MAX(-1,M245/$B$33))))</f>
        <v/>
      </c>
    </row>
    <row r="246">
      <c r="A246" s="36" t="n">
        <v>135.5</v>
      </c>
      <c r="B246" s="19">
        <f>A246/SQRT($B$39)</f>
        <v/>
      </c>
      <c r="C246" s="12">
        <f>B246/0.5924838</f>
        <v/>
      </c>
      <c r="D246" s="18">
        <f>C246/($B$46*$B$23)</f>
        <v/>
      </c>
      <c r="E246" s="18">
        <f>D246/$B$47^(1/3)</f>
        <v/>
      </c>
      <c r="F246" s="15">
        <f>INDEX($C$6:$J$6,1,$B$49)+E246*(INDEX($C$7:$J$7,1,$B$49)+E246*(INDEX($C$8:$J$8,1,$B$49)+E246*(INDEX($C$9:$J$9,1,$B$49)+E246*(INDEX($C$10:$J$10,1,$B$49)+E246*(INDEX($C$11:$J$11,1,$B$49)+E246*(INDEX($C$12:$J$12,1,$B$49)))))))</f>
        <v/>
      </c>
      <c r="G246" s="15">
        <f>INDEX($C$6:$J$6,1,$B$49+1)+E246*(INDEX($C$7:$J$7,1,$B$49+1)+E246*(INDEX($C$8:$J$8,1,$B$49+1)+E246*(INDEX($C$9:$J$9,1,$B$49+1)+E246*(INDEX($C$10:$J$10,1,$B$49+1)+E246*(INDEX($C$11:$J$11,1,$B$49+1)+E246*(INDEX($C$12:$J$12,1,$B$49+1)))))))</f>
        <v/>
      </c>
      <c r="H246" s="18">
        <f>$B$44*(F246+$B$52*(G246-F246))</f>
        <v/>
      </c>
      <c r="I246" s="19">
        <f>H246*$B$45/C246</f>
        <v/>
      </c>
      <c r="J246" s="12">
        <f>0.5*$B$40*C246^2</f>
        <v/>
      </c>
      <c r="K246" s="12">
        <f>$B$24*J246*$B$19</f>
        <v/>
      </c>
      <c r="L246" s="12">
        <f>$B$33^2/(J246*$B$19*PI()*$B$43*$B$25)</f>
        <v/>
      </c>
      <c r="M246" s="19">
        <f>K246+L246</f>
        <v/>
      </c>
      <c r="N246" s="19">
        <f>(I246-M246)*C246/$B$33*60</f>
        <v/>
      </c>
      <c r="O246" s="12">
        <f>DEGREES(ASIN(MIN(1,MAX(-1,(I246-M246)/$B$33))))</f>
        <v/>
      </c>
      <c r="P246" s="19">
        <f>M246*C246/$B$33*60</f>
        <v/>
      </c>
      <c r="Q246" s="12">
        <f>DEGREES(ASIN(MIN(1,MAX(-1,M246/$B$33))))</f>
        <v/>
      </c>
    </row>
    <row r="247">
      <c r="A247" s="36" t="n">
        <v>136</v>
      </c>
      <c r="B247" s="19">
        <f>A247/SQRT($B$39)</f>
        <v/>
      </c>
      <c r="C247" s="12">
        <f>B247/0.5924838</f>
        <v/>
      </c>
      <c r="D247" s="18">
        <f>C247/($B$46*$B$23)</f>
        <v/>
      </c>
      <c r="E247" s="18">
        <f>D247/$B$47^(1/3)</f>
        <v/>
      </c>
      <c r="F247" s="15">
        <f>INDEX($C$6:$J$6,1,$B$49)+E247*(INDEX($C$7:$J$7,1,$B$49)+E247*(INDEX($C$8:$J$8,1,$B$49)+E247*(INDEX($C$9:$J$9,1,$B$49)+E247*(INDEX($C$10:$J$10,1,$B$49)+E247*(INDEX($C$11:$J$11,1,$B$49)+E247*(INDEX($C$12:$J$12,1,$B$49)))))))</f>
        <v/>
      </c>
      <c r="G247" s="15">
        <f>INDEX($C$6:$J$6,1,$B$49+1)+E247*(INDEX($C$7:$J$7,1,$B$49+1)+E247*(INDEX($C$8:$J$8,1,$B$49+1)+E247*(INDEX($C$9:$J$9,1,$B$49+1)+E247*(INDEX($C$10:$J$10,1,$B$49+1)+E247*(INDEX($C$11:$J$11,1,$B$49+1)+E247*(INDEX($C$12:$J$12,1,$B$49+1)))))))</f>
        <v/>
      </c>
      <c r="H247" s="18">
        <f>$B$44*(F247+$B$52*(G247-F247))</f>
        <v/>
      </c>
      <c r="I247" s="19">
        <f>H247*$B$45/C247</f>
        <v/>
      </c>
      <c r="J247" s="12">
        <f>0.5*$B$40*C247^2</f>
        <v/>
      </c>
      <c r="K247" s="12">
        <f>$B$24*J247*$B$19</f>
        <v/>
      </c>
      <c r="L247" s="12">
        <f>$B$33^2/(J247*$B$19*PI()*$B$43*$B$25)</f>
        <v/>
      </c>
      <c r="M247" s="19">
        <f>K247+L247</f>
        <v/>
      </c>
      <c r="N247" s="19">
        <f>(I247-M247)*C247/$B$33*60</f>
        <v/>
      </c>
      <c r="O247" s="12">
        <f>DEGREES(ASIN(MIN(1,MAX(-1,(I247-M247)/$B$33))))</f>
        <v/>
      </c>
      <c r="P247" s="19">
        <f>M247*C247/$B$33*60</f>
        <v/>
      </c>
      <c r="Q247" s="12">
        <f>DEGREES(ASIN(MIN(1,MAX(-1,M247/$B$33))))</f>
        <v/>
      </c>
    </row>
    <row r="248">
      <c r="A248" s="36" t="n">
        <v>136.5</v>
      </c>
      <c r="B248" s="19">
        <f>A248/SQRT($B$39)</f>
        <v/>
      </c>
      <c r="C248" s="12">
        <f>B248/0.5924838</f>
        <v/>
      </c>
      <c r="D248" s="18">
        <f>C248/($B$46*$B$23)</f>
        <v/>
      </c>
      <c r="E248" s="18">
        <f>D248/$B$47^(1/3)</f>
        <v/>
      </c>
      <c r="F248" s="15">
        <f>INDEX($C$6:$J$6,1,$B$49)+E248*(INDEX($C$7:$J$7,1,$B$49)+E248*(INDEX($C$8:$J$8,1,$B$49)+E248*(INDEX($C$9:$J$9,1,$B$49)+E248*(INDEX($C$10:$J$10,1,$B$49)+E248*(INDEX($C$11:$J$11,1,$B$49)+E248*(INDEX($C$12:$J$12,1,$B$49)))))))</f>
        <v/>
      </c>
      <c r="G248" s="15">
        <f>INDEX($C$6:$J$6,1,$B$49+1)+E248*(INDEX($C$7:$J$7,1,$B$49+1)+E248*(INDEX($C$8:$J$8,1,$B$49+1)+E248*(INDEX($C$9:$J$9,1,$B$49+1)+E248*(INDEX($C$10:$J$10,1,$B$49+1)+E248*(INDEX($C$11:$J$11,1,$B$49+1)+E248*(INDEX($C$12:$J$12,1,$B$49+1)))))))</f>
        <v/>
      </c>
      <c r="H248" s="18">
        <f>$B$44*(F248+$B$52*(G248-F248))</f>
        <v/>
      </c>
      <c r="I248" s="19">
        <f>H248*$B$45/C248</f>
        <v/>
      </c>
      <c r="J248" s="12">
        <f>0.5*$B$40*C248^2</f>
        <v/>
      </c>
      <c r="K248" s="12">
        <f>$B$24*J248*$B$19</f>
        <v/>
      </c>
      <c r="L248" s="12">
        <f>$B$33^2/(J248*$B$19*PI()*$B$43*$B$25)</f>
        <v/>
      </c>
      <c r="M248" s="19">
        <f>K248+L248</f>
        <v/>
      </c>
      <c r="N248" s="19">
        <f>(I248-M248)*C248/$B$33*60</f>
        <v/>
      </c>
      <c r="O248" s="12">
        <f>DEGREES(ASIN(MIN(1,MAX(-1,(I248-M248)/$B$33))))</f>
        <v/>
      </c>
      <c r="P248" s="19">
        <f>M248*C248/$B$33*60</f>
        <v/>
      </c>
      <c r="Q248" s="12">
        <f>DEGREES(ASIN(MIN(1,MAX(-1,M248/$B$33))))</f>
        <v/>
      </c>
    </row>
    <row r="249">
      <c r="A249" s="36" t="n">
        <v>137</v>
      </c>
      <c r="B249" s="19">
        <f>A249/SQRT($B$39)</f>
        <v/>
      </c>
      <c r="C249" s="12">
        <f>B249/0.5924838</f>
        <v/>
      </c>
      <c r="D249" s="18">
        <f>C249/($B$46*$B$23)</f>
        <v/>
      </c>
      <c r="E249" s="18">
        <f>D249/$B$47^(1/3)</f>
        <v/>
      </c>
      <c r="F249" s="15">
        <f>INDEX($C$6:$J$6,1,$B$49)+E249*(INDEX($C$7:$J$7,1,$B$49)+E249*(INDEX($C$8:$J$8,1,$B$49)+E249*(INDEX($C$9:$J$9,1,$B$49)+E249*(INDEX($C$10:$J$10,1,$B$49)+E249*(INDEX($C$11:$J$11,1,$B$49)+E249*(INDEX($C$12:$J$12,1,$B$49)))))))</f>
        <v/>
      </c>
      <c r="G249" s="15">
        <f>INDEX($C$6:$J$6,1,$B$49+1)+E249*(INDEX($C$7:$J$7,1,$B$49+1)+E249*(INDEX($C$8:$J$8,1,$B$49+1)+E249*(INDEX($C$9:$J$9,1,$B$49+1)+E249*(INDEX($C$10:$J$10,1,$B$49+1)+E249*(INDEX($C$11:$J$11,1,$B$49+1)+E249*(INDEX($C$12:$J$12,1,$B$49+1)))))))</f>
        <v/>
      </c>
      <c r="H249" s="18">
        <f>$B$44*(F249+$B$52*(G249-F249))</f>
        <v/>
      </c>
      <c r="I249" s="19">
        <f>H249*$B$45/C249</f>
        <v/>
      </c>
      <c r="J249" s="12">
        <f>0.5*$B$40*C249^2</f>
        <v/>
      </c>
      <c r="K249" s="12">
        <f>$B$24*J249*$B$19</f>
        <v/>
      </c>
      <c r="L249" s="12">
        <f>$B$33^2/(J249*$B$19*PI()*$B$43*$B$25)</f>
        <v/>
      </c>
      <c r="M249" s="19">
        <f>K249+L249</f>
        <v/>
      </c>
      <c r="N249" s="19">
        <f>(I249-M249)*C249/$B$33*60</f>
        <v/>
      </c>
      <c r="O249" s="12">
        <f>DEGREES(ASIN(MIN(1,MAX(-1,(I249-M249)/$B$33))))</f>
        <v/>
      </c>
      <c r="P249" s="19">
        <f>M249*C249/$B$33*60</f>
        <v/>
      </c>
      <c r="Q249" s="12">
        <f>DEGREES(ASIN(MIN(1,MAX(-1,M249/$B$33))))</f>
        <v/>
      </c>
    </row>
    <row r="250">
      <c r="A250" s="36" t="n">
        <v>137.5</v>
      </c>
      <c r="B250" s="19">
        <f>A250/SQRT($B$39)</f>
        <v/>
      </c>
      <c r="C250" s="12">
        <f>B250/0.5924838</f>
        <v/>
      </c>
      <c r="D250" s="18">
        <f>C250/($B$46*$B$23)</f>
        <v/>
      </c>
      <c r="E250" s="18">
        <f>D250/$B$47^(1/3)</f>
        <v/>
      </c>
      <c r="F250" s="15">
        <f>INDEX($C$6:$J$6,1,$B$49)+E250*(INDEX($C$7:$J$7,1,$B$49)+E250*(INDEX($C$8:$J$8,1,$B$49)+E250*(INDEX($C$9:$J$9,1,$B$49)+E250*(INDEX($C$10:$J$10,1,$B$49)+E250*(INDEX($C$11:$J$11,1,$B$49)+E250*(INDEX($C$12:$J$12,1,$B$49)))))))</f>
        <v/>
      </c>
      <c r="G250" s="15">
        <f>INDEX($C$6:$J$6,1,$B$49+1)+E250*(INDEX($C$7:$J$7,1,$B$49+1)+E250*(INDEX($C$8:$J$8,1,$B$49+1)+E250*(INDEX($C$9:$J$9,1,$B$49+1)+E250*(INDEX($C$10:$J$10,1,$B$49+1)+E250*(INDEX($C$11:$J$11,1,$B$49+1)+E250*(INDEX($C$12:$J$12,1,$B$49+1)))))))</f>
        <v/>
      </c>
      <c r="H250" s="18">
        <f>$B$44*(F250+$B$52*(G250-F250))</f>
        <v/>
      </c>
      <c r="I250" s="19">
        <f>H250*$B$45/C250</f>
        <v/>
      </c>
      <c r="J250" s="12">
        <f>0.5*$B$40*C250^2</f>
        <v/>
      </c>
      <c r="K250" s="12">
        <f>$B$24*J250*$B$19</f>
        <v/>
      </c>
      <c r="L250" s="12">
        <f>$B$33^2/(J250*$B$19*PI()*$B$43*$B$25)</f>
        <v/>
      </c>
      <c r="M250" s="19">
        <f>K250+L250</f>
        <v/>
      </c>
      <c r="N250" s="19">
        <f>(I250-M250)*C250/$B$33*60</f>
        <v/>
      </c>
      <c r="O250" s="12">
        <f>DEGREES(ASIN(MIN(1,MAX(-1,(I250-M250)/$B$33))))</f>
        <v/>
      </c>
      <c r="P250" s="19">
        <f>M250*C250/$B$33*60</f>
        <v/>
      </c>
      <c r="Q250" s="12">
        <f>DEGREES(ASIN(MIN(1,MAX(-1,M250/$B$33))))</f>
        <v/>
      </c>
    </row>
    <row r="251">
      <c r="A251" s="36" t="n">
        <v>138</v>
      </c>
      <c r="B251" s="19">
        <f>A251/SQRT($B$39)</f>
        <v/>
      </c>
      <c r="C251" s="12">
        <f>B251/0.5924838</f>
        <v/>
      </c>
      <c r="D251" s="18">
        <f>C251/($B$46*$B$23)</f>
        <v/>
      </c>
      <c r="E251" s="18">
        <f>D251/$B$47^(1/3)</f>
        <v/>
      </c>
      <c r="F251" s="15">
        <f>INDEX($C$6:$J$6,1,$B$49)+E251*(INDEX($C$7:$J$7,1,$B$49)+E251*(INDEX($C$8:$J$8,1,$B$49)+E251*(INDEX($C$9:$J$9,1,$B$49)+E251*(INDEX($C$10:$J$10,1,$B$49)+E251*(INDEX($C$11:$J$11,1,$B$49)+E251*(INDEX($C$12:$J$12,1,$B$49)))))))</f>
        <v/>
      </c>
      <c r="G251" s="15">
        <f>INDEX($C$6:$J$6,1,$B$49+1)+E251*(INDEX($C$7:$J$7,1,$B$49+1)+E251*(INDEX($C$8:$J$8,1,$B$49+1)+E251*(INDEX($C$9:$J$9,1,$B$49+1)+E251*(INDEX($C$10:$J$10,1,$B$49+1)+E251*(INDEX($C$11:$J$11,1,$B$49+1)+E251*(INDEX($C$12:$J$12,1,$B$49+1)))))))</f>
        <v/>
      </c>
      <c r="H251" s="18">
        <f>$B$44*(F251+$B$52*(G251-F251))</f>
        <v/>
      </c>
      <c r="I251" s="19">
        <f>H251*$B$45/C251</f>
        <v/>
      </c>
      <c r="J251" s="12">
        <f>0.5*$B$40*C251^2</f>
        <v/>
      </c>
      <c r="K251" s="12">
        <f>$B$24*J251*$B$19</f>
        <v/>
      </c>
      <c r="L251" s="12">
        <f>$B$33^2/(J251*$B$19*PI()*$B$43*$B$25)</f>
        <v/>
      </c>
      <c r="M251" s="19">
        <f>K251+L251</f>
        <v/>
      </c>
      <c r="N251" s="19">
        <f>(I251-M251)*C251/$B$33*60</f>
        <v/>
      </c>
      <c r="O251" s="12">
        <f>DEGREES(ASIN(MIN(1,MAX(-1,(I251-M251)/$B$33))))</f>
        <v/>
      </c>
      <c r="P251" s="19">
        <f>M251*C251/$B$33*60</f>
        <v/>
      </c>
      <c r="Q251" s="12">
        <f>DEGREES(ASIN(MIN(1,MAX(-1,M251/$B$33))))</f>
        <v/>
      </c>
    </row>
    <row r="252">
      <c r="A252" s="36" t="n">
        <v>138.5</v>
      </c>
      <c r="B252" s="19">
        <f>A252/SQRT($B$39)</f>
        <v/>
      </c>
      <c r="C252" s="12">
        <f>B252/0.5924838</f>
        <v/>
      </c>
      <c r="D252" s="18">
        <f>C252/($B$46*$B$23)</f>
        <v/>
      </c>
      <c r="E252" s="18">
        <f>D252/$B$47^(1/3)</f>
        <v/>
      </c>
      <c r="F252" s="15">
        <f>INDEX($C$6:$J$6,1,$B$49)+E252*(INDEX($C$7:$J$7,1,$B$49)+E252*(INDEX($C$8:$J$8,1,$B$49)+E252*(INDEX($C$9:$J$9,1,$B$49)+E252*(INDEX($C$10:$J$10,1,$B$49)+E252*(INDEX($C$11:$J$11,1,$B$49)+E252*(INDEX($C$12:$J$12,1,$B$49)))))))</f>
        <v/>
      </c>
      <c r="G252" s="15">
        <f>INDEX($C$6:$J$6,1,$B$49+1)+E252*(INDEX($C$7:$J$7,1,$B$49+1)+E252*(INDEX($C$8:$J$8,1,$B$49+1)+E252*(INDEX($C$9:$J$9,1,$B$49+1)+E252*(INDEX($C$10:$J$10,1,$B$49+1)+E252*(INDEX($C$11:$J$11,1,$B$49+1)+E252*(INDEX($C$12:$J$12,1,$B$49+1)))))))</f>
        <v/>
      </c>
      <c r="H252" s="18">
        <f>$B$44*(F252+$B$52*(G252-F252))</f>
        <v/>
      </c>
      <c r="I252" s="19">
        <f>H252*$B$45/C252</f>
        <v/>
      </c>
      <c r="J252" s="12">
        <f>0.5*$B$40*C252^2</f>
        <v/>
      </c>
      <c r="K252" s="12">
        <f>$B$24*J252*$B$19</f>
        <v/>
      </c>
      <c r="L252" s="12">
        <f>$B$33^2/(J252*$B$19*PI()*$B$43*$B$25)</f>
        <v/>
      </c>
      <c r="M252" s="19">
        <f>K252+L252</f>
        <v/>
      </c>
      <c r="N252" s="19">
        <f>(I252-M252)*C252/$B$33*60</f>
        <v/>
      </c>
      <c r="O252" s="12">
        <f>DEGREES(ASIN(MIN(1,MAX(-1,(I252-M252)/$B$33))))</f>
        <v/>
      </c>
      <c r="P252" s="19">
        <f>M252*C252/$B$33*60</f>
        <v/>
      </c>
      <c r="Q252" s="12">
        <f>DEGREES(ASIN(MIN(1,MAX(-1,M252/$B$33))))</f>
        <v/>
      </c>
    </row>
    <row r="253">
      <c r="A253" s="36" t="n">
        <v>139</v>
      </c>
      <c r="B253" s="19">
        <f>A253/SQRT($B$39)</f>
        <v/>
      </c>
      <c r="C253" s="12">
        <f>B253/0.5924838</f>
        <v/>
      </c>
      <c r="D253" s="18">
        <f>C253/($B$46*$B$23)</f>
        <v/>
      </c>
      <c r="E253" s="18">
        <f>D253/$B$47^(1/3)</f>
        <v/>
      </c>
      <c r="F253" s="15">
        <f>INDEX($C$6:$J$6,1,$B$49)+E253*(INDEX($C$7:$J$7,1,$B$49)+E253*(INDEX($C$8:$J$8,1,$B$49)+E253*(INDEX($C$9:$J$9,1,$B$49)+E253*(INDEX($C$10:$J$10,1,$B$49)+E253*(INDEX($C$11:$J$11,1,$B$49)+E253*(INDEX($C$12:$J$12,1,$B$49)))))))</f>
        <v/>
      </c>
      <c r="G253" s="15">
        <f>INDEX($C$6:$J$6,1,$B$49+1)+E253*(INDEX($C$7:$J$7,1,$B$49+1)+E253*(INDEX($C$8:$J$8,1,$B$49+1)+E253*(INDEX($C$9:$J$9,1,$B$49+1)+E253*(INDEX($C$10:$J$10,1,$B$49+1)+E253*(INDEX($C$11:$J$11,1,$B$49+1)+E253*(INDEX($C$12:$J$12,1,$B$49+1)))))))</f>
        <v/>
      </c>
      <c r="H253" s="18">
        <f>$B$44*(F253+$B$52*(G253-F253))</f>
        <v/>
      </c>
      <c r="I253" s="19">
        <f>H253*$B$45/C253</f>
        <v/>
      </c>
      <c r="J253" s="12">
        <f>0.5*$B$40*C253^2</f>
        <v/>
      </c>
      <c r="K253" s="12">
        <f>$B$24*J253*$B$19</f>
        <v/>
      </c>
      <c r="L253" s="12">
        <f>$B$33^2/(J253*$B$19*PI()*$B$43*$B$25)</f>
        <v/>
      </c>
      <c r="M253" s="19">
        <f>K253+L253</f>
        <v/>
      </c>
      <c r="N253" s="19">
        <f>(I253-M253)*C253/$B$33*60</f>
        <v/>
      </c>
      <c r="O253" s="12">
        <f>DEGREES(ASIN(MIN(1,MAX(-1,(I253-M253)/$B$33))))</f>
        <v/>
      </c>
      <c r="P253" s="19">
        <f>M253*C253/$B$33*60</f>
        <v/>
      </c>
      <c r="Q253" s="12">
        <f>DEGREES(ASIN(MIN(1,MAX(-1,M253/$B$33))))</f>
        <v/>
      </c>
    </row>
    <row r="254">
      <c r="A254" s="36" t="n">
        <v>139.5</v>
      </c>
      <c r="B254" s="19">
        <f>A254/SQRT($B$39)</f>
        <v/>
      </c>
      <c r="C254" s="12">
        <f>B254/0.5924838</f>
        <v/>
      </c>
      <c r="D254" s="18">
        <f>C254/($B$46*$B$23)</f>
        <v/>
      </c>
      <c r="E254" s="18">
        <f>D254/$B$47^(1/3)</f>
        <v/>
      </c>
      <c r="F254" s="15">
        <f>INDEX($C$6:$J$6,1,$B$49)+E254*(INDEX($C$7:$J$7,1,$B$49)+E254*(INDEX($C$8:$J$8,1,$B$49)+E254*(INDEX($C$9:$J$9,1,$B$49)+E254*(INDEX($C$10:$J$10,1,$B$49)+E254*(INDEX($C$11:$J$11,1,$B$49)+E254*(INDEX($C$12:$J$12,1,$B$49)))))))</f>
        <v/>
      </c>
      <c r="G254" s="15">
        <f>INDEX($C$6:$J$6,1,$B$49+1)+E254*(INDEX($C$7:$J$7,1,$B$49+1)+E254*(INDEX($C$8:$J$8,1,$B$49+1)+E254*(INDEX($C$9:$J$9,1,$B$49+1)+E254*(INDEX($C$10:$J$10,1,$B$49+1)+E254*(INDEX($C$11:$J$11,1,$B$49+1)+E254*(INDEX($C$12:$J$12,1,$B$49+1)))))))</f>
        <v/>
      </c>
      <c r="H254" s="18">
        <f>$B$44*(F254+$B$52*(G254-F254))</f>
        <v/>
      </c>
      <c r="I254" s="19">
        <f>H254*$B$45/C254</f>
        <v/>
      </c>
      <c r="J254" s="12">
        <f>0.5*$B$40*C254^2</f>
        <v/>
      </c>
      <c r="K254" s="12">
        <f>$B$24*J254*$B$19</f>
        <v/>
      </c>
      <c r="L254" s="12">
        <f>$B$33^2/(J254*$B$19*PI()*$B$43*$B$25)</f>
        <v/>
      </c>
      <c r="M254" s="19">
        <f>K254+L254</f>
        <v/>
      </c>
      <c r="N254" s="19">
        <f>(I254-M254)*C254/$B$33*60</f>
        <v/>
      </c>
      <c r="O254" s="12">
        <f>DEGREES(ASIN(MIN(1,MAX(-1,(I254-M254)/$B$33))))</f>
        <v/>
      </c>
      <c r="P254" s="19">
        <f>M254*C254/$B$33*60</f>
        <v/>
      </c>
      <c r="Q254" s="12">
        <f>DEGREES(ASIN(MIN(1,MAX(-1,M254/$B$33))))</f>
        <v/>
      </c>
    </row>
    <row r="255">
      <c r="A255" s="36" t="n">
        <v>140</v>
      </c>
      <c r="B255" s="19">
        <f>A255/SQRT($B$39)</f>
        <v/>
      </c>
      <c r="C255" s="12">
        <f>B255/0.5924838</f>
        <v/>
      </c>
      <c r="D255" s="18">
        <f>C255/($B$46*$B$23)</f>
        <v/>
      </c>
      <c r="E255" s="18">
        <f>D255/$B$47^(1/3)</f>
        <v/>
      </c>
      <c r="F255" s="15">
        <f>INDEX($C$6:$J$6,1,$B$49)+E255*(INDEX($C$7:$J$7,1,$B$49)+E255*(INDEX($C$8:$J$8,1,$B$49)+E255*(INDEX($C$9:$J$9,1,$B$49)+E255*(INDEX($C$10:$J$10,1,$B$49)+E255*(INDEX($C$11:$J$11,1,$B$49)+E255*(INDEX($C$12:$J$12,1,$B$49)))))))</f>
        <v/>
      </c>
      <c r="G255" s="15">
        <f>INDEX($C$6:$J$6,1,$B$49+1)+E255*(INDEX($C$7:$J$7,1,$B$49+1)+E255*(INDEX($C$8:$J$8,1,$B$49+1)+E255*(INDEX($C$9:$J$9,1,$B$49+1)+E255*(INDEX($C$10:$J$10,1,$B$49+1)+E255*(INDEX($C$11:$J$11,1,$B$49+1)+E255*(INDEX($C$12:$J$12,1,$B$49+1)))))))</f>
        <v/>
      </c>
      <c r="H255" s="18">
        <f>$B$44*(F255+$B$52*(G255-F255))</f>
        <v/>
      </c>
      <c r="I255" s="19">
        <f>H255*$B$45/C255</f>
        <v/>
      </c>
      <c r="J255" s="12">
        <f>0.5*$B$40*C255^2</f>
        <v/>
      </c>
      <c r="K255" s="12">
        <f>$B$24*J255*$B$19</f>
        <v/>
      </c>
      <c r="L255" s="12">
        <f>$B$33^2/(J255*$B$19*PI()*$B$43*$B$25)</f>
        <v/>
      </c>
      <c r="M255" s="19">
        <f>K255+L255</f>
        <v/>
      </c>
      <c r="N255" s="19">
        <f>(I255-M255)*C255/$B$33*60</f>
        <v/>
      </c>
      <c r="O255" s="12">
        <f>DEGREES(ASIN(MIN(1,MAX(-1,(I255-M255)/$B$33))))</f>
        <v/>
      </c>
      <c r="P255" s="19">
        <f>M255*C255/$B$33*60</f>
        <v/>
      </c>
      <c r="Q255" s="12">
        <f>DEGREES(ASIN(MIN(1,MAX(-1,M255/$B$33))))</f>
        <v/>
      </c>
    </row>
  </sheetData>
  <mergeCells count="2">
    <mergeCell ref="A2:Q2"/>
    <mergeCell ref="A1:Q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2026-02-10T22:48:41Z</dcterms:created>
  <dcterms:modified xsi:type="dcterms:W3CDTF">2026-02-10T22:48:41Z</dcterms:modified>
</cp:coreProperties>
</file>