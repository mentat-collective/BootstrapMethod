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 Blade → TAF" sheetId="1" state="visible" r:id="rId1"/>
    <sheet name="Flight Tests → CD0, e" sheetId="2" state="visible" r:id="rId2"/>
    <sheet name="Data 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"/>
    <numFmt numFmtId="165" formatCode="0.0000"/>
    <numFmt numFmtId="166" formatCode="0.000"/>
    <numFmt numFmtId="167" formatCode="0.0"/>
    <numFmt numFmtId="168" formatCode="0.000000"/>
    <numFmt numFmtId="169" formatCode="0.000000000"/>
  </numFmts>
  <fonts count="5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2F5496"/>
      <sz val="11"/>
    </font>
    <font>
      <b val="1"/>
    </font>
    <font>
      <name val="Courier New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2" borderId="1" pivotButton="0" quotePrefix="0" xfId="0"/>
    <xf numFmtId="2" fontId="0" fillId="0" borderId="1" pivotButton="0" quotePrefix="0" xfId="0"/>
    <xf numFmtId="2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5" fontId="0" fillId="3" borderId="1" pivotButton="0" quotePrefix="0" xfId="0"/>
    <xf numFmtId="2" fontId="0" fillId="4" borderId="1" pivotButton="0" quotePrefix="0" xfId="0"/>
    <xf numFmtId="165" fontId="0" fillId="4" borderId="1" pivotButton="0" quotePrefix="0" xfId="0"/>
    <xf numFmtId="166" fontId="0" fillId="3" borderId="1" pivotButton="0" quotePrefix="0" xfId="0"/>
    <xf numFmtId="167" fontId="0" fillId="3" borderId="1" pivotButton="0" quotePrefix="0" xfId="0"/>
    <xf numFmtId="168" fontId="0" fillId="3" borderId="1" pivotButton="0" quotePrefix="0" xfId="0"/>
    <xf numFmtId="169" fontId="0" fillId="3" borderId="1" pivotButton="0" quotePrefix="0" xfId="0"/>
    <xf numFmtId="167" fontId="0" fillId="4" borderId="1" pivotButton="0" quotePrefix="0" xfId="0"/>
    <xf numFmtId="164" fontId="0" fillId="4" borderId="1" pivotButton="0" quotePrefix="0" xfId="0"/>
    <xf numFmtId="166" fontId="0" fillId="4" borderId="1" pivotButton="0" quotePrefix="0" xfId="0"/>
    <xf numFmtId="2" fontId="0" fillId="2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Glide Regression: V/Δt vs V⁴</a:t>
            </a:r>
          </a:p>
        </rich>
      </tx>
    </title>
    <plotArea>
      <scatterChart>
        <ser>
          <idx val="0"/>
          <order val="0"/>
          <tx>
            <v>Glide data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'Flight Tests → CD0, e'!$J$31:$J$43</f>
            </numRef>
          </xVal>
          <yVal>
            <numRef>
              <f>'Flight Tests → CD0, e'!$I$31:$I$43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V⁴ (fps⁴)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V/Δt (fps/sec)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Glide Endurance: KCAS × Δt vs KCAS</a:t>
            </a:r>
          </a:p>
        </rich>
      </tx>
    </title>
    <plotArea>
      <scatterChart>
        <ser>
          <idx val="0"/>
          <order val="0"/>
          <tx>
            <v>Glide data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'Flight Tests → CD0, e'!$E$31:$E$43</f>
            </numRef>
          </xVal>
          <yVal>
            <numRef>
              <f>'Flight Tests → CD0, e'!$H$31:$H$43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KCAS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KCAS × Δt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Climb Rate vs Airspeed</a:t>
            </a:r>
          </a:p>
        </rich>
      </tx>
    </title>
    <plotArea>
      <scatterChart>
        <ser>
          <idx val="0"/>
          <order val="0"/>
          <tx>
            <v>Climb data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'Flight Tests → CD0, e'!$E$63:$E$75</f>
            </numRef>
          </xVal>
          <yVal>
            <numRef>
              <f>'Flight Tests → CD0, e'!$G$63:$G$75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KCAS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Rate of Climb (ft/min)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85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101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117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Propeller Blade Activity Factor (BAF &amp; TAF)</t>
        </is>
      </c>
    </row>
    <row r="2">
      <c r="A2" t="inlineStr">
        <is>
          <t>Measure blade width at each station using calipers. Yellow cells = your inputs. Blue cells = computed.</t>
        </is>
      </c>
    </row>
    <row r="4">
      <c r="A4" s="2" t="inlineStr">
        <is>
          <t>Propeller Specs</t>
        </is>
      </c>
    </row>
    <row r="5">
      <c r="A5" s="3" t="inlineStr">
        <is>
          <t>Blade Radius R (inches):</t>
        </is>
      </c>
      <c r="B5" s="4" t="n"/>
    </row>
    <row r="6">
      <c r="A6" s="3" t="inlineStr">
        <is>
          <t>Number of Blades BB:</t>
        </is>
      </c>
      <c r="B6" s="4" t="n"/>
    </row>
    <row r="7">
      <c r="A7" s="3" t="inlineStr">
        <is>
          <t>Propeller Model:</t>
        </is>
      </c>
      <c r="B7" s="4" t="n"/>
    </row>
    <row r="9">
      <c r="A9" s="2" t="inlineStr">
        <is>
          <t>Station Measurements</t>
        </is>
      </c>
    </row>
    <row r="10">
      <c r="A10" s="3" t="inlineStr">
        <is>
          <t>Station (x = r/R)</t>
        </is>
      </c>
      <c r="B10" s="3" t="inlineStr">
        <is>
          <t>r = x × R (in)</t>
        </is>
      </c>
      <c r="C10" s="3" t="inlineStr">
        <is>
          <t>Blade Width b(x) (in)</t>
        </is>
      </c>
      <c r="D10" s="3" t="inlineStr">
        <is>
          <t>f(x) = x³ × b(x) / R</t>
        </is>
      </c>
      <c r="E10" s="3" t="inlineStr">
        <is>
          <t>Trap. Weight</t>
        </is>
      </c>
      <c r="F10" s="3" t="inlineStr">
        <is>
          <t>Weighted f(x)</t>
        </is>
      </c>
    </row>
    <row r="11">
      <c r="A11" s="5" t="n">
        <v>0.2</v>
      </c>
      <c r="B11" s="6">
        <f>A11*$B$5</f>
        <v/>
      </c>
      <c r="C11" s="4" t="n"/>
      <c r="D11" s="7">
        <f>A11^3*C11/$B$5</f>
        <v/>
      </c>
      <c r="E11" s="8" t="n">
        <v>1</v>
      </c>
      <c r="F11" s="7">
        <f>D11*E11</f>
        <v/>
      </c>
    </row>
    <row r="12">
      <c r="A12" s="5" t="n">
        <v>0.25</v>
      </c>
      <c r="B12" s="6">
        <f>A12*$B$5</f>
        <v/>
      </c>
      <c r="C12" s="4" t="n"/>
      <c r="D12" s="7">
        <f>A12^3*C12/$B$5</f>
        <v/>
      </c>
      <c r="E12" s="8" t="n">
        <v>2</v>
      </c>
      <c r="F12" s="7">
        <f>D12*E12</f>
        <v/>
      </c>
    </row>
    <row r="13">
      <c r="A13" s="5" t="n">
        <v>0.3</v>
      </c>
      <c r="B13" s="6">
        <f>A13*$B$5</f>
        <v/>
      </c>
      <c r="C13" s="4" t="n"/>
      <c r="D13" s="7">
        <f>A13^3*C13/$B$5</f>
        <v/>
      </c>
      <c r="E13" s="8" t="n">
        <v>2</v>
      </c>
      <c r="F13" s="7">
        <f>D13*E13</f>
        <v/>
      </c>
    </row>
    <row r="14">
      <c r="A14" s="5" t="n">
        <v>0.35</v>
      </c>
      <c r="B14" s="6">
        <f>A14*$B$5</f>
        <v/>
      </c>
      <c r="C14" s="4" t="n"/>
      <c r="D14" s="7">
        <f>A14^3*C14/$B$5</f>
        <v/>
      </c>
      <c r="E14" s="8" t="n">
        <v>2</v>
      </c>
      <c r="F14" s="7">
        <f>D14*E14</f>
        <v/>
      </c>
    </row>
    <row r="15">
      <c r="A15" s="5" t="n">
        <v>0.4</v>
      </c>
      <c r="B15" s="6">
        <f>A15*$B$5</f>
        <v/>
      </c>
      <c r="C15" s="4" t="n"/>
      <c r="D15" s="7">
        <f>A15^3*C15/$B$5</f>
        <v/>
      </c>
      <c r="E15" s="8" t="n">
        <v>2</v>
      </c>
      <c r="F15" s="7">
        <f>D15*E15</f>
        <v/>
      </c>
    </row>
    <row r="16">
      <c r="A16" s="5" t="n">
        <v>0.45</v>
      </c>
      <c r="B16" s="6">
        <f>A16*$B$5</f>
        <v/>
      </c>
      <c r="C16" s="4" t="n"/>
      <c r="D16" s="7">
        <f>A16^3*C16/$B$5</f>
        <v/>
      </c>
      <c r="E16" s="8" t="n">
        <v>2</v>
      </c>
      <c r="F16" s="7">
        <f>D16*E16</f>
        <v/>
      </c>
    </row>
    <row r="17">
      <c r="A17" s="5" t="n">
        <v>0.5</v>
      </c>
      <c r="B17" s="6">
        <f>A17*$B$5</f>
        <v/>
      </c>
      <c r="C17" s="4" t="n"/>
      <c r="D17" s="7">
        <f>A17^3*C17/$B$5</f>
        <v/>
      </c>
      <c r="E17" s="8" t="n">
        <v>2</v>
      </c>
      <c r="F17" s="7">
        <f>D17*E17</f>
        <v/>
      </c>
    </row>
    <row r="18">
      <c r="A18" s="5" t="n">
        <v>0.55</v>
      </c>
      <c r="B18" s="6">
        <f>A18*$B$5</f>
        <v/>
      </c>
      <c r="C18" s="4" t="n"/>
      <c r="D18" s="7">
        <f>A18^3*C18/$B$5</f>
        <v/>
      </c>
      <c r="E18" s="8" t="n">
        <v>2</v>
      </c>
      <c r="F18" s="7">
        <f>D18*E18</f>
        <v/>
      </c>
    </row>
    <row r="19">
      <c r="A19" s="5" t="n">
        <v>0.6</v>
      </c>
      <c r="B19" s="6">
        <f>A19*$B$5</f>
        <v/>
      </c>
      <c r="C19" s="4" t="n"/>
      <c r="D19" s="7">
        <f>A19^3*C19/$B$5</f>
        <v/>
      </c>
      <c r="E19" s="8" t="n">
        <v>2</v>
      </c>
      <c r="F19" s="7">
        <f>D19*E19</f>
        <v/>
      </c>
    </row>
    <row r="20">
      <c r="A20" s="5" t="n">
        <v>0.65</v>
      </c>
      <c r="B20" s="6">
        <f>A20*$B$5</f>
        <v/>
      </c>
      <c r="C20" s="4" t="n"/>
      <c r="D20" s="7">
        <f>A20^3*C20/$B$5</f>
        <v/>
      </c>
      <c r="E20" s="8" t="n">
        <v>2</v>
      </c>
      <c r="F20" s="7">
        <f>D20*E20</f>
        <v/>
      </c>
    </row>
    <row r="21">
      <c r="A21" s="5" t="n">
        <v>0.7</v>
      </c>
      <c r="B21" s="6">
        <f>A21*$B$5</f>
        <v/>
      </c>
      <c r="C21" s="4" t="n"/>
      <c r="D21" s="7">
        <f>A21^3*C21/$B$5</f>
        <v/>
      </c>
      <c r="E21" s="8" t="n">
        <v>2</v>
      </c>
      <c r="F21" s="7">
        <f>D21*E21</f>
        <v/>
      </c>
    </row>
    <row r="22">
      <c r="A22" s="5" t="n">
        <v>0.75</v>
      </c>
      <c r="B22" s="6">
        <f>A22*$B$5</f>
        <v/>
      </c>
      <c r="C22" s="4" t="n"/>
      <c r="D22" s="7">
        <f>A22^3*C22/$B$5</f>
        <v/>
      </c>
      <c r="E22" s="8" t="n">
        <v>2</v>
      </c>
      <c r="F22" s="7">
        <f>D22*E22</f>
        <v/>
      </c>
    </row>
    <row r="23">
      <c r="A23" s="5" t="n">
        <v>0.8</v>
      </c>
      <c r="B23" s="6">
        <f>A23*$B$5</f>
        <v/>
      </c>
      <c r="C23" s="4" t="n"/>
      <c r="D23" s="7">
        <f>A23^3*C23/$B$5</f>
        <v/>
      </c>
      <c r="E23" s="8" t="n">
        <v>2</v>
      </c>
      <c r="F23" s="7">
        <f>D23*E23</f>
        <v/>
      </c>
    </row>
    <row r="24">
      <c r="A24" s="5" t="n">
        <v>0.85</v>
      </c>
      <c r="B24" s="6">
        <f>A24*$B$5</f>
        <v/>
      </c>
      <c r="C24" s="4" t="n"/>
      <c r="D24" s="7">
        <f>A24^3*C24/$B$5</f>
        <v/>
      </c>
      <c r="E24" s="8" t="n">
        <v>2</v>
      </c>
      <c r="F24" s="7">
        <f>D24*E24</f>
        <v/>
      </c>
    </row>
    <row r="25">
      <c r="A25" s="5" t="n">
        <v>0.9</v>
      </c>
      <c r="B25" s="6">
        <f>A25*$B$5</f>
        <v/>
      </c>
      <c r="C25" s="4" t="n"/>
      <c r="D25" s="7">
        <f>A25^3*C25/$B$5</f>
        <v/>
      </c>
      <c r="E25" s="8" t="n">
        <v>2</v>
      </c>
      <c r="F25" s="7">
        <f>D25*E25</f>
        <v/>
      </c>
    </row>
    <row r="26">
      <c r="A26" s="5" t="n">
        <v>0.95</v>
      </c>
      <c r="B26" s="6">
        <f>A26*$B$5</f>
        <v/>
      </c>
      <c r="C26" s="4" t="n"/>
      <c r="D26" s="7">
        <f>A26^3*C26/$B$5</f>
        <v/>
      </c>
      <c r="E26" s="8" t="n">
        <v>2</v>
      </c>
      <c r="F26" s="7">
        <f>D26*E26</f>
        <v/>
      </c>
    </row>
    <row r="27">
      <c r="A27" s="5" t="n">
        <v>1</v>
      </c>
      <c r="B27" s="6">
        <f>A27*$B$5</f>
        <v/>
      </c>
      <c r="C27" s="4" t="n"/>
      <c r="D27" s="7">
        <f>A27^3*C27/$B$5</f>
        <v/>
      </c>
      <c r="E27" s="8" t="n">
        <v>1</v>
      </c>
      <c r="F27" s="7">
        <f>D27*E27</f>
        <v/>
      </c>
    </row>
    <row r="29">
      <c r="A29" s="2" t="inlineStr">
        <is>
          <t>Results</t>
        </is>
      </c>
    </row>
    <row r="30">
      <c r="A30" s="3" t="inlineStr">
        <is>
          <t>Sum of weighted f(x):</t>
        </is>
      </c>
      <c r="B30" s="9">
        <f>SUM(F11:F27)</f>
        <v/>
      </c>
    </row>
    <row r="31">
      <c r="A31" s="3" t="inlineStr">
        <is>
          <t>BAF (Blade Activity Factor):</t>
        </is>
      </c>
      <c r="B31" s="10">
        <f>78.125/$B$5*B30</f>
        <v/>
      </c>
      <c r="C31" t="inlineStr">
        <is>
          <t>Eq. 6.56: BAF = (78.125/R) × Σ weighted f(x)</t>
        </is>
      </c>
    </row>
    <row r="32">
      <c r="A32" s="3" t="inlineStr">
        <is>
          <t>TAF (Total Activity Factor):</t>
        </is>
      </c>
      <c r="B32" s="10">
        <f>$B$6*B31</f>
        <v/>
      </c>
      <c r="C32" t="inlineStr">
        <is>
          <t>Eq. 6.55: TAF = BB × BAF</t>
        </is>
      </c>
    </row>
    <row r="33">
      <c r="A33" s="3" t="inlineStr">
        <is>
          <t>X (Power Adj. Factor):</t>
        </is>
      </c>
      <c r="B33" s="11">
        <f>0.001515*B32-0.0880</f>
        <v/>
      </c>
      <c r="C33" t="inlineStr">
        <is>
          <t>Eq. 6.57: X = 0.001515 × TAF - 0.0880</t>
        </is>
      </c>
    </row>
    <row r="35">
      <c r="A35" s="2" t="inlineStr">
        <is>
          <t>Validation:</t>
        </is>
      </c>
    </row>
    <row r="36">
      <c r="A36" t="inlineStr">
        <is>
          <t>Typical GA BAF range: 70-140</t>
        </is>
      </c>
    </row>
    <row r="37">
      <c r="A37" t="inlineStr">
        <is>
          <t>R182 example: R=41, BB=2 → BAF=97.94, TAF=195.9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Glide &amp; Climb Flight Tests</t>
        </is>
      </c>
    </row>
    <row r="2">
      <c r="A2" t="inlineStr">
        <is>
          <t>Yellow = inputs. Blue = computed. Green = results. Glide tests derive CD0 and e. Climb tests are for validation.</t>
        </is>
      </c>
    </row>
    <row r="4">
      <c r="A4" s="2" t="inlineStr">
        <is>
          <t>Aircraft Constants</t>
        </is>
      </c>
    </row>
    <row r="5">
      <c r="A5" s="3" t="inlineStr">
        <is>
          <t>Wing area S (ft²):</t>
        </is>
      </c>
      <c r="B5" s="4" t="n"/>
    </row>
    <row r="6">
      <c r="A6" s="3" t="inlineStr">
        <is>
          <t>Wing span B (ft):</t>
        </is>
      </c>
      <c r="B6" s="4" t="n"/>
    </row>
    <row r="7">
      <c r="A7" s="3" t="inlineStr">
        <is>
          <t>Aspect ratio A:</t>
        </is>
      </c>
      <c r="B7" s="12">
        <f>B6^2/B5</f>
        <v/>
      </c>
    </row>
    <row r="9">
      <c r="A9" s="2" t="inlineStr">
        <is>
          <t>Test Conditions</t>
        </is>
      </c>
    </row>
    <row r="10">
      <c r="A10" s="3" t="inlineStr">
        <is>
          <t>Date:</t>
        </is>
      </c>
      <c r="B10" s="4" t="n"/>
    </row>
    <row r="11">
      <c r="A11" s="3" t="inlineStr">
        <is>
          <t>Top Pressure Alt (ft):</t>
        </is>
      </c>
      <c r="B11" s="4" t="n"/>
    </row>
    <row r="12">
      <c r="A12" s="3" t="inlineStr">
        <is>
          <t>Bottom Pressure Alt (ft):</t>
        </is>
      </c>
      <c r="B12" s="4" t="n"/>
    </row>
    <row r="13">
      <c r="A13" s="3" t="inlineStr">
        <is>
          <t>ΔH pressure (ft):</t>
        </is>
      </c>
      <c r="B13" s="13">
        <f>B11-B12</f>
        <v/>
      </c>
    </row>
    <row r="14">
      <c r="A14" s="3" t="inlineStr">
        <is>
          <t>OAT at midpoint (°F):</t>
        </is>
      </c>
      <c r="B14" s="4" t="n"/>
    </row>
    <row r="15">
      <c r="A15" s="3" t="inlineStr">
        <is>
          <t>Mid pressure alt (ft):</t>
        </is>
      </c>
      <c r="B15" s="13">
        <f>(B11+B12)/2</f>
        <v/>
      </c>
    </row>
    <row r="16">
      <c r="A16" s="3" t="inlineStr">
        <is>
          <t>Std temp at mid alt (°F):</t>
        </is>
      </c>
      <c r="B16" s="13">
        <f>59-0.003566*B15</f>
        <v/>
      </c>
    </row>
    <row r="17">
      <c r="A17" s="3" t="inlineStr">
        <is>
          <t>Tapeline correction:</t>
        </is>
      </c>
      <c r="B17" s="9">
        <f>(B14+459.7)/(B16+459.7)</f>
        <v/>
      </c>
    </row>
    <row r="18">
      <c r="A18" s="3" t="inlineStr">
        <is>
          <t>ΔH tapeline (ft):</t>
        </is>
      </c>
      <c r="B18" s="13">
        <f>B13*B17</f>
        <v/>
      </c>
    </row>
    <row r="19">
      <c r="A19" s="3" t="inlineStr">
        <is>
          <t>σ (density ratio):</t>
        </is>
      </c>
      <c r="B19" s="9">
        <f>(1-0.003566*B15/518.7)^(1/0.234957)</f>
        <v/>
      </c>
    </row>
    <row r="20">
      <c r="A20" s="3" t="inlineStr">
        <is>
          <t>ρ (slug/ft³):</t>
        </is>
      </c>
      <c r="B20" s="14">
        <f>0.002377*B19</f>
        <v/>
      </c>
    </row>
    <row r="22">
      <c r="A22" s="2" t="inlineStr">
        <is>
          <t>Weight Computation</t>
        </is>
      </c>
    </row>
    <row r="23">
      <c r="A23" s="3" t="inlineStr">
        <is>
          <t>Empty weight (lbs):</t>
        </is>
      </c>
      <c r="B23" s="4" t="n"/>
    </row>
    <row r="24">
      <c r="A24" s="3" t="inlineStr">
        <is>
          <t>Pilot + pax (lbs):</t>
        </is>
      </c>
      <c r="B24" s="4" t="n"/>
    </row>
    <row r="25">
      <c r="A25" s="3" t="inlineStr">
        <is>
          <t>Baggage (lbs):</t>
        </is>
      </c>
      <c r="B25" s="4" t="n"/>
    </row>
    <row r="27">
      <c r="A27" s="2" t="inlineStr">
        <is>
          <t>IAS → CAS Correction</t>
        </is>
      </c>
    </row>
    <row r="28">
      <c r="A28" s="3" t="inlineStr">
        <is>
          <t>Position error (kt):</t>
        </is>
      </c>
      <c r="B28" s="4" t="n">
        <v>0</v>
      </c>
      <c r="C28" t="inlineStr">
        <is>
          <t>(Enter correction to add; 0 if KIAS ≈ KCAS)</t>
        </is>
      </c>
    </row>
    <row r="30">
      <c r="A30" s="2" t="inlineStr">
        <is>
          <t>GLIDE TEST RUNS</t>
        </is>
      </c>
      <c r="E30" t="inlineStr">
        <is>
          <t>Prop at low RPM, power idle, trimmed &amp; stabilized</t>
        </is>
      </c>
    </row>
    <row r="31">
      <c r="A31" s="3" t="inlineStr">
        <is>
          <t>Run #</t>
        </is>
      </c>
      <c r="B31" s="3" t="inlineStr">
        <is>
          <t>Fuel (gal)</t>
        </is>
      </c>
      <c r="C31" s="3" t="inlineStr">
        <is>
          <t>Gross Wt (lbs)</t>
        </is>
      </c>
      <c r="D31" s="3" t="inlineStr">
        <is>
          <t>KIAS</t>
        </is>
      </c>
      <c r="E31" s="3" t="inlineStr">
        <is>
          <t>KCAS</t>
        </is>
      </c>
      <c r="F31" s="3" t="inlineStr">
        <is>
          <t>Δt (sec)</t>
        </is>
      </c>
      <c r="G31" s="3" t="inlineStr">
        <is>
          <t>V_TAS (fps)</t>
        </is>
      </c>
      <c r="H31" s="3" t="inlineStr">
        <is>
          <t>KCAS × Δt</t>
        </is>
      </c>
      <c r="I31" s="3" t="inlineStr">
        <is>
          <t>V/Δt</t>
        </is>
      </c>
      <c r="J31" s="3" t="inlineStr">
        <is>
          <t>V⁴</t>
        </is>
      </c>
    </row>
    <row r="32">
      <c r="A32" s="8" t="n">
        <v>1</v>
      </c>
      <c r="B32" s="4" t="n"/>
      <c r="C32" s="13">
        <f>$B$23+$B$24+$B$25+B32*6</f>
        <v/>
      </c>
      <c r="D32" s="4" t="n"/>
      <c r="E32" s="13">
        <f>D32+$B$28</f>
        <v/>
      </c>
      <c r="F32" s="4" t="n"/>
      <c r="G32" s="6">
        <f>IFERROR((E32/SQRT($B$19))/0.5924838,"")</f>
        <v/>
      </c>
      <c r="H32" s="13">
        <f>IFERROR(E32*F32,"")</f>
        <v/>
      </c>
      <c r="I32" s="12">
        <f>IFERROR(G32/F32,"")</f>
        <v/>
      </c>
      <c r="J32" s="13">
        <f>IFERROR(G32^4,"")</f>
        <v/>
      </c>
    </row>
    <row r="33">
      <c r="A33" s="8" t="n">
        <v>2</v>
      </c>
      <c r="B33" s="4" t="n"/>
      <c r="C33" s="13">
        <f>$B$23+$B$24+$B$25+B33*6</f>
        <v/>
      </c>
      <c r="D33" s="4" t="n"/>
      <c r="E33" s="13">
        <f>D33+$B$28</f>
        <v/>
      </c>
      <c r="F33" s="4" t="n"/>
      <c r="G33" s="6">
        <f>IFERROR((E33/SQRT($B$19))/0.5924838,"")</f>
        <v/>
      </c>
      <c r="H33" s="13">
        <f>IFERROR(E33*F33,"")</f>
        <v/>
      </c>
      <c r="I33" s="12">
        <f>IFERROR(G33/F33,"")</f>
        <v/>
      </c>
      <c r="J33" s="13">
        <f>IFERROR(G33^4,"")</f>
        <v/>
      </c>
    </row>
    <row r="34">
      <c r="A34" s="8" t="n">
        <v>3</v>
      </c>
      <c r="B34" s="4" t="n"/>
      <c r="C34" s="13">
        <f>$B$23+$B$24+$B$25+B34*6</f>
        <v/>
      </c>
      <c r="D34" s="4" t="n"/>
      <c r="E34" s="13">
        <f>D34+$B$28</f>
        <v/>
      </c>
      <c r="F34" s="4" t="n"/>
      <c r="G34" s="6">
        <f>IFERROR((E34/SQRT($B$19))/0.5924838,"")</f>
        <v/>
      </c>
      <c r="H34" s="13">
        <f>IFERROR(E34*F34,"")</f>
        <v/>
      </c>
      <c r="I34" s="12">
        <f>IFERROR(G34/F34,"")</f>
        <v/>
      </c>
      <c r="J34" s="13">
        <f>IFERROR(G34^4,"")</f>
        <v/>
      </c>
    </row>
    <row r="35">
      <c r="A35" s="8" t="n">
        <v>4</v>
      </c>
      <c r="B35" s="4" t="n"/>
      <c r="C35" s="13">
        <f>$B$23+$B$24+$B$25+B35*6</f>
        <v/>
      </c>
      <c r="D35" s="4" t="n"/>
      <c r="E35" s="13">
        <f>D35+$B$28</f>
        <v/>
      </c>
      <c r="F35" s="4" t="n"/>
      <c r="G35" s="6">
        <f>IFERROR((E35/SQRT($B$19))/0.5924838,"")</f>
        <v/>
      </c>
      <c r="H35" s="13">
        <f>IFERROR(E35*F35,"")</f>
        <v/>
      </c>
      <c r="I35" s="12">
        <f>IFERROR(G35/F35,"")</f>
        <v/>
      </c>
      <c r="J35" s="13">
        <f>IFERROR(G35^4,"")</f>
        <v/>
      </c>
    </row>
    <row r="36">
      <c r="A36" s="8" t="n">
        <v>5</v>
      </c>
      <c r="B36" s="4" t="n"/>
      <c r="C36" s="13">
        <f>$B$23+$B$24+$B$25+B36*6</f>
        <v/>
      </c>
      <c r="D36" s="4" t="n"/>
      <c r="E36" s="13">
        <f>D36+$B$28</f>
        <v/>
      </c>
      <c r="F36" s="4" t="n"/>
      <c r="G36" s="6">
        <f>IFERROR((E36/SQRT($B$19))/0.5924838,"")</f>
        <v/>
      </c>
      <c r="H36" s="13">
        <f>IFERROR(E36*F36,"")</f>
        <v/>
      </c>
      <c r="I36" s="12">
        <f>IFERROR(G36/F36,"")</f>
        <v/>
      </c>
      <c r="J36" s="13">
        <f>IFERROR(G36^4,"")</f>
        <v/>
      </c>
    </row>
    <row r="37">
      <c r="A37" s="8" t="n">
        <v>6</v>
      </c>
      <c r="B37" s="4" t="n"/>
      <c r="C37" s="13">
        <f>$B$23+$B$24+$B$25+B37*6</f>
        <v/>
      </c>
      <c r="D37" s="4" t="n"/>
      <c r="E37" s="13">
        <f>D37+$B$28</f>
        <v/>
      </c>
      <c r="F37" s="4" t="n"/>
      <c r="G37" s="6">
        <f>IFERROR((E37/SQRT($B$19))/0.5924838,"")</f>
        <v/>
      </c>
      <c r="H37" s="13">
        <f>IFERROR(E37*F37,"")</f>
        <v/>
      </c>
      <c r="I37" s="12">
        <f>IFERROR(G37/F37,"")</f>
        <v/>
      </c>
      <c r="J37" s="13">
        <f>IFERROR(G37^4,"")</f>
        <v/>
      </c>
    </row>
    <row r="38">
      <c r="A38" s="8" t="n">
        <v>7</v>
      </c>
      <c r="B38" s="4" t="n"/>
      <c r="C38" s="13">
        <f>$B$23+$B$24+$B$25+B38*6</f>
        <v/>
      </c>
      <c r="D38" s="4" t="n"/>
      <c r="E38" s="13">
        <f>D38+$B$28</f>
        <v/>
      </c>
      <c r="F38" s="4" t="n"/>
      <c r="G38" s="6">
        <f>IFERROR((E38/SQRT($B$19))/0.5924838,"")</f>
        <v/>
      </c>
      <c r="H38" s="13">
        <f>IFERROR(E38*F38,"")</f>
        <v/>
      </c>
      <c r="I38" s="12">
        <f>IFERROR(G38/F38,"")</f>
        <v/>
      </c>
      <c r="J38" s="13">
        <f>IFERROR(G38^4,"")</f>
        <v/>
      </c>
    </row>
    <row r="39">
      <c r="A39" s="8" t="n">
        <v>8</v>
      </c>
      <c r="B39" s="4" t="n"/>
      <c r="C39" s="13">
        <f>$B$23+$B$24+$B$25+B39*6</f>
        <v/>
      </c>
      <c r="D39" s="4" t="n"/>
      <c r="E39" s="13">
        <f>D39+$B$28</f>
        <v/>
      </c>
      <c r="F39" s="4" t="n"/>
      <c r="G39" s="6">
        <f>IFERROR((E39/SQRT($B$19))/0.5924838,"")</f>
        <v/>
      </c>
      <c r="H39" s="13">
        <f>IFERROR(E39*F39,"")</f>
        <v/>
      </c>
      <c r="I39" s="12">
        <f>IFERROR(G39/F39,"")</f>
        <v/>
      </c>
      <c r="J39" s="13">
        <f>IFERROR(G39^4,"")</f>
        <v/>
      </c>
    </row>
    <row r="40">
      <c r="A40" s="8" t="n">
        <v>9</v>
      </c>
      <c r="B40" s="4" t="n"/>
      <c r="C40" s="13">
        <f>$B$23+$B$24+$B$25+B40*6</f>
        <v/>
      </c>
      <c r="D40" s="4" t="n"/>
      <c r="E40" s="13">
        <f>D40+$B$28</f>
        <v/>
      </c>
      <c r="F40" s="4" t="n"/>
      <c r="G40" s="6">
        <f>IFERROR((E40/SQRT($B$19))/0.5924838,"")</f>
        <v/>
      </c>
      <c r="H40" s="13">
        <f>IFERROR(E40*F40,"")</f>
        <v/>
      </c>
      <c r="I40" s="12">
        <f>IFERROR(G40/F40,"")</f>
        <v/>
      </c>
      <c r="J40" s="13">
        <f>IFERROR(G40^4,"")</f>
        <v/>
      </c>
    </row>
    <row r="41">
      <c r="A41" s="8" t="n">
        <v>10</v>
      </c>
      <c r="B41" s="4" t="n"/>
      <c r="C41" s="13">
        <f>$B$23+$B$24+$B$25+B41*6</f>
        <v/>
      </c>
      <c r="D41" s="4" t="n"/>
      <c r="E41" s="13">
        <f>D41+$B$28</f>
        <v/>
      </c>
      <c r="F41" s="4" t="n"/>
      <c r="G41" s="6">
        <f>IFERROR((E41/SQRT($B$19))/0.5924838,"")</f>
        <v/>
      </c>
      <c r="H41" s="13">
        <f>IFERROR(E41*F41,"")</f>
        <v/>
      </c>
      <c r="I41" s="12">
        <f>IFERROR(G41/F41,"")</f>
        <v/>
      </c>
      <c r="J41" s="13">
        <f>IFERROR(G41^4,"")</f>
        <v/>
      </c>
    </row>
    <row r="42">
      <c r="A42" s="8" t="n">
        <v>11</v>
      </c>
      <c r="B42" s="4" t="n"/>
      <c r="C42" s="13">
        <f>$B$23+$B$24+$B$25+B42*6</f>
        <v/>
      </c>
      <c r="D42" s="4" t="n"/>
      <c r="E42" s="13">
        <f>D42+$B$28</f>
        <v/>
      </c>
      <c r="F42" s="4" t="n"/>
      <c r="G42" s="6">
        <f>IFERROR((E42/SQRT($B$19))/0.5924838,"")</f>
        <v/>
      </c>
      <c r="H42" s="13">
        <f>IFERROR(E42*F42,"")</f>
        <v/>
      </c>
      <c r="I42" s="12">
        <f>IFERROR(G42/F42,"")</f>
        <v/>
      </c>
      <c r="J42" s="13">
        <f>IFERROR(G42^4,"")</f>
        <v/>
      </c>
    </row>
    <row r="43">
      <c r="A43" s="8" t="n">
        <v>12</v>
      </c>
      <c r="B43" s="4" t="n"/>
      <c r="C43" s="13">
        <f>$B$23+$B$24+$B$25+B43*6</f>
        <v/>
      </c>
      <c r="D43" s="4" t="n"/>
      <c r="E43" s="13">
        <f>D43+$B$28</f>
        <v/>
      </c>
      <c r="F43" s="4" t="n"/>
      <c r="G43" s="6">
        <f>IFERROR((E43/SQRT($B$19))/0.5924838,"")</f>
        <v/>
      </c>
      <c r="H43" s="13">
        <f>IFERROR(E43*F43,"")</f>
        <v/>
      </c>
      <c r="I43" s="12">
        <f>IFERROR(G43/F43,"")</f>
        <v/>
      </c>
      <c r="J43" s="13">
        <f>IFERROR(G43^4,"")</f>
        <v/>
      </c>
    </row>
    <row r="45">
      <c r="A45" s="2" t="inlineStr">
        <is>
          <t>Curve Fit: V/Δt = a·V⁴ + b</t>
        </is>
      </c>
    </row>
    <row r="46">
      <c r="A46" s="3" t="inlineStr">
        <is>
          <t>Avg gross weight W (lbs):</t>
        </is>
      </c>
      <c r="B46" s="13">
        <f>AVERAGE(C32:C43)</f>
        <v/>
      </c>
      <c r="C46" t="inlineStr">
        <is>
          <t>(used for CD0/e extraction)</t>
        </is>
      </c>
    </row>
    <row r="47">
      <c r="A47" s="3" t="inlineStr">
        <is>
          <t>a (slope):</t>
        </is>
      </c>
      <c r="B47" s="15">
        <f>SLOPE(I32:I43,J32:J43)</f>
        <v/>
      </c>
      <c r="C47" t="inlineStr">
        <is>
          <t>a = CD0·ρ·S / (2·W·ΔH)</t>
        </is>
      </c>
    </row>
    <row r="48">
      <c r="A48" s="3" t="inlineStr">
        <is>
          <t>b (intercept):</t>
        </is>
      </c>
      <c r="B48" s="14">
        <f>INTERCEPT(I32:I43,J32:J43)</f>
        <v/>
      </c>
      <c r="C48" t="inlineStr">
        <is>
          <t>b = 2·W / (ρ·S·π·A·e·ΔH)</t>
        </is>
      </c>
    </row>
    <row r="49">
      <c r="A49" s="3" t="inlineStr">
        <is>
          <t>V_bg TAS (fps):</t>
        </is>
      </c>
      <c r="B49" s="6">
        <f>(B48/B47)^0.25</f>
        <v/>
      </c>
      <c r="C49" t="inlineStr">
        <is>
          <t>V_bg = (b/a)^(1/4)</t>
        </is>
      </c>
    </row>
    <row r="50">
      <c r="A50" s="3" t="inlineStr">
        <is>
          <t>Vbg (KCAS):</t>
        </is>
      </c>
      <c r="B50" s="16">
        <f>B49*SQRT($B$19)*0.5924838</f>
        <v/>
      </c>
      <c r="C50" t="inlineStr">
        <is>
          <t>V_bg_TAS × √σ × 0.5924838</t>
        </is>
      </c>
    </row>
    <row r="52">
      <c r="A52" s="2" t="inlineStr">
        <is>
          <t>CD0 and e (from curve fit)</t>
        </is>
      </c>
    </row>
    <row r="53">
      <c r="A53" s="3" t="inlineStr">
        <is>
          <t>CD0:</t>
        </is>
      </c>
      <c r="B53" s="17">
        <f>B47*2*B46*$B$18/($B$20*$B$5)</f>
        <v/>
      </c>
      <c r="C53" t="inlineStr">
        <is>
          <t>a × 2·W·ΔH / (ρ·S)</t>
        </is>
      </c>
    </row>
    <row r="54">
      <c r="A54" s="3" t="inlineStr">
        <is>
          <t>e (efficiency factor):</t>
        </is>
      </c>
      <c r="B54" s="18">
        <f>2*B46/(B48*$B$20*$B$5*PI()*$B$7*$B$18)</f>
        <v/>
      </c>
      <c r="C54" t="inlineStr">
        <is>
          <t>2·W / (b·ρ·S·π·A·ΔH)</t>
        </is>
      </c>
    </row>
    <row r="55">
      <c r="A55" s="3" t="inlineStr">
        <is>
          <t>Max L/D:</t>
        </is>
      </c>
      <c r="B55" s="13">
        <f>1/(2*SQRT(B53/(PI()*$B$7*B54)))</f>
        <v/>
      </c>
      <c r="C55" t="inlineStr">
        <is>
          <t>1 / (2·√(CD0/(π·A·e)))</t>
        </is>
      </c>
    </row>
    <row r="56">
      <c r="A56" s="3" t="inlineStr">
        <is>
          <t>R² (fit quality):</t>
        </is>
      </c>
      <c r="B56" s="9">
        <f>RSQ(I32:I43,J32:J43)</f>
        <v/>
      </c>
      <c r="C56" t="inlineStr">
        <is>
          <t>Should be &gt; 0.99 for good data</t>
        </is>
      </c>
    </row>
    <row r="57">
      <c r="A57" s="3" t="inlineStr">
        <is>
          <t>Max KCAS×Δt (raw data):</t>
        </is>
      </c>
      <c r="B57" s="13">
        <f>MAX(H32:H43)</f>
        <v/>
      </c>
      <c r="C57" t="inlineStr">
        <is>
          <t>Sanity check: Vbg should be near the max row</t>
        </is>
      </c>
    </row>
    <row r="62">
      <c r="A62" s="2" t="inlineStr">
        <is>
          <t>CLIMB TEST RUNS (Validation)</t>
        </is>
      </c>
      <c r="E62" t="inlineStr">
        <is>
          <t>Full power at 2500 RPM, trimmed &amp; stabilized</t>
        </is>
      </c>
    </row>
    <row r="63">
      <c r="A63" s="3" t="inlineStr">
        <is>
          <t>Run #</t>
        </is>
      </c>
      <c r="B63" s="3" t="inlineStr">
        <is>
          <t>Fuel (gal)</t>
        </is>
      </c>
      <c r="C63" s="3" t="inlineStr">
        <is>
          <t>Gross Wt (lbs)</t>
        </is>
      </c>
      <c r="D63" s="3" t="inlineStr">
        <is>
          <t>KIAS</t>
        </is>
      </c>
      <c r="E63" s="3" t="inlineStr">
        <is>
          <t>KCAS</t>
        </is>
      </c>
      <c r="F63" s="3" t="inlineStr">
        <is>
          <t>Δt (sec)</t>
        </is>
      </c>
      <c r="G63" s="3" t="inlineStr">
        <is>
          <t>ROC (fpm)</t>
        </is>
      </c>
      <c r="H63" s="3" t="inlineStr">
        <is>
          <t>RPM</t>
        </is>
      </c>
      <c r="I63" s="3" t="inlineStr">
        <is>
          <t>% Power</t>
        </is>
      </c>
      <c r="J63" s="3" t="inlineStr">
        <is>
          <t>Climb Angle (°)</t>
        </is>
      </c>
    </row>
    <row r="64">
      <c r="A64" s="8" t="n">
        <v>1</v>
      </c>
      <c r="B64" s="4" t="n"/>
      <c r="C64" s="13">
        <f>$B$23+$B$24+$B$25+B64*6</f>
        <v/>
      </c>
      <c r="D64" s="4" t="n"/>
      <c r="E64" s="13">
        <f>D64+$B$28</f>
        <v/>
      </c>
      <c r="F64" s="4" t="n"/>
      <c r="G64" s="13">
        <f>$B$18/F64*60</f>
        <v/>
      </c>
      <c r="H64" s="4" t="n"/>
      <c r="I64" s="4" t="n"/>
      <c r="J64" s="6">
        <f>IFERROR(DEGREES(ATAN(G64/(((E64/SQRT($B$19))/0.5924838)*60))),"")</f>
        <v/>
      </c>
    </row>
    <row r="65">
      <c r="A65" s="8" t="n">
        <v>2</v>
      </c>
      <c r="B65" s="4" t="n"/>
      <c r="C65" s="13">
        <f>$B$23+$B$24+$B$25+B65*6</f>
        <v/>
      </c>
      <c r="D65" s="4" t="n"/>
      <c r="E65" s="13">
        <f>D65+$B$28</f>
        <v/>
      </c>
      <c r="F65" s="4" t="n"/>
      <c r="G65" s="13">
        <f>$B$18/F65*60</f>
        <v/>
      </c>
      <c r="H65" s="4" t="n"/>
      <c r="I65" s="4" t="n"/>
      <c r="J65" s="6">
        <f>IFERROR(DEGREES(ATAN(G65/(((E65/SQRT($B$19))/0.5924838)*60))),"")</f>
        <v/>
      </c>
    </row>
    <row r="66">
      <c r="A66" s="8" t="n">
        <v>3</v>
      </c>
      <c r="B66" s="4" t="n"/>
      <c r="C66" s="13">
        <f>$B$23+$B$24+$B$25+B66*6</f>
        <v/>
      </c>
      <c r="D66" s="4" t="n"/>
      <c r="E66" s="13">
        <f>D66+$B$28</f>
        <v/>
      </c>
      <c r="F66" s="4" t="n"/>
      <c r="G66" s="13">
        <f>$B$18/F66*60</f>
        <v/>
      </c>
      <c r="H66" s="4" t="n"/>
      <c r="I66" s="4" t="n"/>
      <c r="J66" s="6">
        <f>IFERROR(DEGREES(ATAN(G66/(((E66/SQRT($B$19))/0.5924838)*60))),"")</f>
        <v/>
      </c>
    </row>
    <row r="67">
      <c r="A67" s="8" t="n">
        <v>4</v>
      </c>
      <c r="B67" s="4" t="n"/>
      <c r="C67" s="13">
        <f>$B$23+$B$24+$B$25+B67*6</f>
        <v/>
      </c>
      <c r="D67" s="4" t="n"/>
      <c r="E67" s="13">
        <f>D67+$B$28</f>
        <v/>
      </c>
      <c r="F67" s="4" t="n"/>
      <c r="G67" s="13">
        <f>$B$18/F67*60</f>
        <v/>
      </c>
      <c r="H67" s="4" t="n"/>
      <c r="I67" s="4" t="n"/>
      <c r="J67" s="6">
        <f>IFERROR(DEGREES(ATAN(G67/(((E67/SQRT($B$19))/0.5924838)*60))),"")</f>
        <v/>
      </c>
    </row>
    <row r="68">
      <c r="A68" s="8" t="n">
        <v>5</v>
      </c>
      <c r="B68" s="4" t="n"/>
      <c r="C68" s="13">
        <f>$B$23+$B$24+$B$25+B68*6</f>
        <v/>
      </c>
      <c r="D68" s="4" t="n"/>
      <c r="E68" s="13">
        <f>D68+$B$28</f>
        <v/>
      </c>
      <c r="F68" s="4" t="n"/>
      <c r="G68" s="13">
        <f>$B$18/F68*60</f>
        <v/>
      </c>
      <c r="H68" s="4" t="n"/>
      <c r="I68" s="4" t="n"/>
      <c r="J68" s="6">
        <f>IFERROR(DEGREES(ATAN(G68/(((E68/SQRT($B$19))/0.5924838)*60))),"")</f>
        <v/>
      </c>
    </row>
    <row r="69">
      <c r="A69" s="8" t="n">
        <v>6</v>
      </c>
      <c r="B69" s="4" t="n"/>
      <c r="C69" s="13">
        <f>$B$23+$B$24+$B$25+B69*6</f>
        <v/>
      </c>
      <c r="D69" s="4" t="n"/>
      <c r="E69" s="13">
        <f>D69+$B$28</f>
        <v/>
      </c>
      <c r="F69" s="4" t="n"/>
      <c r="G69" s="13">
        <f>$B$18/F69*60</f>
        <v/>
      </c>
      <c r="H69" s="4" t="n"/>
      <c r="I69" s="4" t="n"/>
      <c r="J69" s="6">
        <f>IFERROR(DEGREES(ATAN(G69/(((E69/SQRT($B$19))/0.5924838)*60))),"")</f>
        <v/>
      </c>
    </row>
    <row r="70">
      <c r="A70" s="8" t="n">
        <v>7</v>
      </c>
      <c r="B70" s="4" t="n"/>
      <c r="C70" s="13">
        <f>$B$23+$B$24+$B$25+B70*6</f>
        <v/>
      </c>
      <c r="D70" s="4" t="n"/>
      <c r="E70" s="13">
        <f>D70+$B$28</f>
        <v/>
      </c>
      <c r="F70" s="4" t="n"/>
      <c r="G70" s="13">
        <f>$B$18/F70*60</f>
        <v/>
      </c>
      <c r="H70" s="4" t="n"/>
      <c r="I70" s="4" t="n"/>
      <c r="J70" s="6">
        <f>IFERROR(DEGREES(ATAN(G70/(((E70/SQRT($B$19))/0.5924838)*60))),"")</f>
        <v/>
      </c>
    </row>
    <row r="71">
      <c r="A71" s="8" t="n">
        <v>8</v>
      </c>
      <c r="B71" s="4" t="n"/>
      <c r="C71" s="13">
        <f>$B$23+$B$24+$B$25+B71*6</f>
        <v/>
      </c>
      <c r="D71" s="4" t="n"/>
      <c r="E71" s="13">
        <f>D71+$B$28</f>
        <v/>
      </c>
      <c r="F71" s="4" t="n"/>
      <c r="G71" s="13">
        <f>$B$18/F71*60</f>
        <v/>
      </c>
      <c r="H71" s="4" t="n"/>
      <c r="I71" s="4" t="n"/>
      <c r="J71" s="6">
        <f>IFERROR(DEGREES(ATAN(G71/(((E71/SQRT($B$19))/0.5924838)*60))),"")</f>
        <v/>
      </c>
    </row>
    <row r="72">
      <c r="A72" s="8" t="n">
        <v>9</v>
      </c>
      <c r="B72" s="4" t="n"/>
      <c r="C72" s="13">
        <f>$B$23+$B$24+$B$25+B72*6</f>
        <v/>
      </c>
      <c r="D72" s="4" t="n"/>
      <c r="E72" s="13">
        <f>D72+$B$28</f>
        <v/>
      </c>
      <c r="F72" s="4" t="n"/>
      <c r="G72" s="13">
        <f>$B$18/F72*60</f>
        <v/>
      </c>
      <c r="H72" s="4" t="n"/>
      <c r="I72" s="4" t="n"/>
      <c r="J72" s="6">
        <f>IFERROR(DEGREES(ATAN(G72/(((E72/SQRT($B$19))/0.5924838)*60))),"")</f>
        <v/>
      </c>
    </row>
    <row r="73">
      <c r="A73" s="8" t="n">
        <v>10</v>
      </c>
      <c r="B73" s="4" t="n"/>
      <c r="C73" s="13">
        <f>$B$23+$B$24+$B$25+B73*6</f>
        <v/>
      </c>
      <c r="D73" s="4" t="n"/>
      <c r="E73" s="13">
        <f>D73+$B$28</f>
        <v/>
      </c>
      <c r="F73" s="4" t="n"/>
      <c r="G73" s="13">
        <f>$B$18/F73*60</f>
        <v/>
      </c>
      <c r="H73" s="4" t="n"/>
      <c r="I73" s="4" t="n"/>
      <c r="J73" s="6">
        <f>IFERROR(DEGREES(ATAN(G73/(((E73/SQRT($B$19))/0.5924838)*60))),"")</f>
        <v/>
      </c>
    </row>
    <row r="74">
      <c r="A74" s="8" t="n">
        <v>11</v>
      </c>
      <c r="B74" s="4" t="n"/>
      <c r="C74" s="13">
        <f>$B$23+$B$24+$B$25+B74*6</f>
        <v/>
      </c>
      <c r="D74" s="4" t="n"/>
      <c r="E74" s="13">
        <f>D74+$B$28</f>
        <v/>
      </c>
      <c r="F74" s="4" t="n"/>
      <c r="G74" s="13">
        <f>$B$18/F74*60</f>
        <v/>
      </c>
      <c r="H74" s="4" t="n"/>
      <c r="I74" s="4" t="n"/>
      <c r="J74" s="6">
        <f>IFERROR(DEGREES(ATAN(G74/(((E74/SQRT($B$19))/0.5924838)*60))),"")</f>
        <v/>
      </c>
    </row>
    <row r="75">
      <c r="A75" s="8" t="n">
        <v>12</v>
      </c>
      <c r="B75" s="4" t="n"/>
      <c r="C75" s="13">
        <f>$B$23+$B$24+$B$25+B75*6</f>
        <v/>
      </c>
      <c r="D75" s="4" t="n"/>
      <c r="E75" s="13">
        <f>D75+$B$28</f>
        <v/>
      </c>
      <c r="F75" s="4" t="n"/>
      <c r="G75" s="13">
        <f>$B$18/F75*60</f>
        <v/>
      </c>
      <c r="H75" s="4" t="n"/>
      <c r="I75" s="4" t="n"/>
      <c r="J75" s="6">
        <f>IFERROR(DEGREES(ATAN(G75/(((E75/SQRT($B$19))/0.5924838)*60))),"")</f>
        <v/>
      </c>
    </row>
    <row r="77">
      <c r="A77" s="2" t="inlineStr">
        <is>
          <t>Climb Test Analysis</t>
        </is>
      </c>
    </row>
    <row r="78">
      <c r="A78" s="3" t="inlineStr">
        <is>
          <t>Best ROC speed (Vy):</t>
        </is>
      </c>
      <c r="B78" s="16">
        <f>IFERROR(INDEX(E64:E75,MATCH(MAX(G64:G75),G64:G75,0)),"")</f>
        <v/>
      </c>
      <c r="C78" s="3" t="inlineStr">
        <is>
          <t>KCAS</t>
        </is>
      </c>
      <c r="D78" t="inlineStr">
        <is>
          <t>KCAS at max ROC</t>
        </is>
      </c>
    </row>
    <row r="79">
      <c r="A79" s="3" t="inlineStr">
        <is>
          <t>Max ROC:</t>
        </is>
      </c>
      <c r="B79" s="16">
        <f>IFERROR(MAX(G64:G75),"")</f>
        <v/>
      </c>
      <c r="C79" s="3" t="inlineStr">
        <is>
          <t>ft/min</t>
        </is>
      </c>
    </row>
    <row r="80">
      <c r="A80" s="3" t="inlineStr">
        <is>
          <t>Best climb angle speed (Vx):</t>
        </is>
      </c>
      <c r="B80" s="16">
        <f>IFERROR(INDEX(E64:E75,MATCH(MAX(J64:J75),J64:J75,0)),"")</f>
        <v/>
      </c>
      <c r="C80" s="3" t="inlineStr">
        <is>
          <t>KCAS</t>
        </is>
      </c>
      <c r="D80" t="inlineStr">
        <is>
          <t>KCAS at max climb angle</t>
        </is>
      </c>
    </row>
    <row r="81">
      <c r="A81" s="3" t="inlineStr">
        <is>
          <t>Max climb angle:</t>
        </is>
      </c>
      <c r="B81" s="10">
        <f>IFERROR(MAX(J64:J75),"")</f>
        <v/>
      </c>
      <c r="C81" s="3" t="inlineStr">
        <is>
          <t>degrees</t>
        </is>
      </c>
    </row>
    <row r="83">
      <c r="A83" t="inlineStr">
        <is>
          <t>Compare these against bootstrap predictions:</t>
        </is>
      </c>
      <c r="D83" t="inlineStr">
        <is>
          <t>Run the Clojure calculator at the same W, h, RPM, % power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</cols>
  <sheetData>
    <row r="1">
      <c r="A1" s="1" t="inlineStr">
        <is>
          <t>Bootstrap Data Plate</t>
        </is>
      </c>
    </row>
    <row r="2">
      <c r="A2" t="inlineStr">
        <is>
          <t>Yellow = manual inputs. Green = computed from other tabs. Copy the Clojure map below into your code.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Units</t>
        </is>
      </c>
      <c r="D4" s="3" t="inlineStr">
        <is>
          <t>Source</t>
        </is>
      </c>
    </row>
    <row r="5">
      <c r="A5" s="3" t="inlineStr">
        <is>
          <t>S (wing area)</t>
        </is>
      </c>
      <c r="B5" s="19" t="n"/>
      <c r="C5" s="8" t="inlineStr">
        <is>
          <t>ft²</t>
        </is>
      </c>
      <c r="D5" s="8" t="inlineStr">
        <is>
          <t>POH / plans</t>
        </is>
      </c>
    </row>
    <row r="6">
      <c r="A6" s="3" t="inlineStr">
        <is>
          <t>B (wing span)</t>
        </is>
      </c>
      <c r="B6" s="19" t="n"/>
      <c r="C6" s="8" t="inlineStr">
        <is>
          <t>ft</t>
        </is>
      </c>
      <c r="D6" s="8" t="inlineStr">
        <is>
          <t>POH / plans</t>
        </is>
      </c>
    </row>
    <row r="7">
      <c r="A7" s="3" t="inlineStr">
        <is>
          <t>P0 (rated power)</t>
        </is>
      </c>
      <c r="B7" s="19" t="n"/>
      <c r="C7" s="8" t="inlineStr">
        <is>
          <t>hp</t>
        </is>
      </c>
      <c r="D7" s="8" t="inlineStr">
        <is>
          <t>POH</t>
        </is>
      </c>
    </row>
    <row r="8">
      <c r="A8" s="3" t="inlineStr">
        <is>
          <t>N0 (rated RPM)</t>
        </is>
      </c>
      <c r="B8" s="19" t="n"/>
      <c r="C8" s="8" t="inlineStr">
        <is>
          <t>RPM</t>
        </is>
      </c>
      <c r="D8" s="8" t="inlineStr">
        <is>
          <t>POH</t>
        </is>
      </c>
    </row>
    <row r="9">
      <c r="A9" s="3" t="inlineStr">
        <is>
          <t>d (prop diameter)</t>
        </is>
      </c>
      <c r="B9" s="19" t="n"/>
      <c r="C9" s="8" t="inlineStr">
        <is>
          <t>ft</t>
        </is>
      </c>
      <c r="D9" s="8" t="inlineStr">
        <is>
          <t>Measurement</t>
        </is>
      </c>
    </row>
    <row r="10">
      <c r="A10" s="3" t="inlineStr">
        <is>
          <t>CD0</t>
        </is>
      </c>
      <c r="B10" s="17">
        <f>'Flight Tests → CD0, e'!B53</f>
        <v/>
      </c>
      <c r="C10" s="8" t="inlineStr"/>
      <c r="D10" s="8" t="inlineStr">
        <is>
          <t>Tab 2 (curve fit)</t>
        </is>
      </c>
    </row>
    <row r="11">
      <c r="A11" s="3" t="inlineStr">
        <is>
          <t>e</t>
        </is>
      </c>
      <c r="B11" s="17">
        <f>'Flight Tests → CD0, e'!B54</f>
        <v/>
      </c>
      <c r="C11" s="8" t="inlineStr"/>
      <c r="D11" s="8" t="inlineStr">
        <is>
          <t>Tab 2 (curve fit)</t>
        </is>
      </c>
    </row>
    <row r="12">
      <c r="A12" s="3" t="inlineStr">
        <is>
          <t>TAF</t>
        </is>
      </c>
      <c r="B12" s="10">
        <f>'Prop Blade → TAF'!B32</f>
        <v/>
      </c>
      <c r="C12" s="8" t="inlineStr"/>
      <c r="D12" s="8" t="inlineStr">
        <is>
          <t>Tab 1 (prop measurement)</t>
        </is>
      </c>
    </row>
    <row r="13">
      <c r="A13" s="3" t="inlineStr">
        <is>
          <t>Z (fuselage dia / prop dia)</t>
        </is>
      </c>
      <c r="B13" s="19" t="n"/>
      <c r="C13" s="8" t="inlineStr"/>
      <c r="D13" s="8" t="inlineStr">
        <is>
          <t>Measurement: fuse_dia / prop_dia</t>
        </is>
      </c>
    </row>
    <row r="14">
      <c r="A14" s="3" t="inlineStr">
        <is>
          <t>Tractor? (1=yes, 0=no)</t>
        </is>
      </c>
      <c r="B14" s="19" t="n">
        <v>1</v>
      </c>
      <c r="C14" s="8" t="inlineStr"/>
      <c r="D14" s="8" t="inlineStr">
        <is>
          <t>Configuration</t>
        </is>
      </c>
    </row>
    <row r="15">
      <c r="A15" s="3" t="inlineStr">
        <is>
          <t>BB (num blades)</t>
        </is>
      </c>
      <c r="B15" s="19" t="n"/>
      <c r="C15" s="8" t="inlineStr"/>
      <c r="D15" s="8" t="inlineStr">
        <is>
          <t>Observation</t>
        </is>
      </c>
    </row>
    <row r="16">
      <c r="A16" s="3" t="inlineStr">
        <is>
          <t>C (power dropoff)</t>
        </is>
      </c>
      <c r="B16" s="19" t="n">
        <v>0.12</v>
      </c>
      <c r="C16" s="8" t="inlineStr"/>
      <c r="D16" s="8" t="inlineStr">
        <is>
          <t>Typical normally-aspirated: 0.12</t>
        </is>
      </c>
    </row>
    <row r="17">
      <c r="A17" s="3" t="inlineStr">
        <is>
          <t>X (power adj. factor)</t>
        </is>
      </c>
      <c r="B17" s="11">
        <f>0.001515*B12-0.0880</f>
        <v/>
      </c>
      <c r="C17" s="8" t="inlineStr"/>
      <c r="D17" s="8" t="inlineStr">
        <is>
          <t>Eq 6.57: X = 0.001515 × TAF - 0.0880</t>
        </is>
      </c>
    </row>
    <row r="18">
      <c r="A18" s="3" t="inlineStr">
        <is>
          <t>A (aspect ratio)</t>
        </is>
      </c>
      <c r="B18" s="12">
        <f>B6^2/B5</f>
        <v/>
      </c>
      <c r="C18" s="8" t="inlineStr"/>
      <c r="D18" s="8" t="inlineStr">
        <is>
          <t>B² / S</t>
        </is>
      </c>
    </row>
    <row r="20">
      <c r="A20" s="2" t="inlineStr">
        <is>
          <t>Clojure Data Plate (copy-paste):</t>
        </is>
      </c>
    </row>
    <row r="21">
      <c r="A21" s="20" t="inlineStr">
        <is>
          <t>{:S</t>
        </is>
      </c>
      <c r="B21" s="20">
        <f>TEXT(B5,"0.0")</f>
        <v/>
      </c>
      <c r="C21" s="20" t="inlineStr">
        <is>
          <t xml:space="preserve">  ;; wing area, ft²</t>
        </is>
      </c>
    </row>
    <row r="22">
      <c r="A22" s="20" t="inlineStr">
        <is>
          <t xml:space="preserve"> :B</t>
        </is>
      </c>
      <c r="B22" s="20">
        <f>TEXT(B6,"0.0")</f>
        <v/>
      </c>
      <c r="C22" s="20" t="inlineStr">
        <is>
          <t xml:space="preserve">  ;; wing span, ft</t>
        </is>
      </c>
    </row>
    <row r="23">
      <c r="A23" s="20" t="inlineStr">
        <is>
          <t xml:space="preserve"> :P0</t>
        </is>
      </c>
      <c r="B23" s="20">
        <f>TEXT(B7,"0.0")</f>
        <v/>
      </c>
      <c r="C23" s="20" t="inlineStr">
        <is>
          <t xml:space="preserve">  ;; rated MSL power, hp</t>
        </is>
      </c>
    </row>
    <row r="24">
      <c r="A24" s="20" t="inlineStr">
        <is>
          <t xml:space="preserve"> :N0</t>
        </is>
      </c>
      <c r="B24" s="20">
        <f>TEXT(B8,"0")</f>
        <v/>
      </c>
      <c r="C24" s="20" t="inlineStr">
        <is>
          <t xml:space="preserve">  ;; rated RPM</t>
        </is>
      </c>
    </row>
    <row r="25">
      <c r="A25" s="20" t="inlineStr">
        <is>
          <t xml:space="preserve"> :d</t>
        </is>
      </c>
      <c r="B25" s="20">
        <f>TEXT(B9,"0.000")</f>
        <v/>
      </c>
      <c r="C25" s="20" t="inlineStr">
        <is>
          <t xml:space="preserve">  ;; prop diameter, ft</t>
        </is>
      </c>
    </row>
    <row r="26">
      <c r="A26" s="20" t="inlineStr">
        <is>
          <t xml:space="preserve"> :CD0</t>
        </is>
      </c>
      <c r="B26" s="20">
        <f>TEXT(B10,"0.00000")</f>
        <v/>
      </c>
      <c r="C26" s="20" t="inlineStr">
        <is>
          <t xml:space="preserve">  ;; parasite drag coefficient</t>
        </is>
      </c>
    </row>
    <row r="27">
      <c r="A27" s="20" t="inlineStr">
        <is>
          <t xml:space="preserve"> :e</t>
        </is>
      </c>
      <c r="B27" s="20">
        <f>TEXT(B11,"0.000")</f>
        <v/>
      </c>
      <c r="C27" s="20" t="inlineStr">
        <is>
          <t xml:space="preserve">  ;; airplane efficiency factor</t>
        </is>
      </c>
    </row>
    <row r="28">
      <c r="A28" s="20" t="inlineStr">
        <is>
          <t xml:space="preserve"> :TAF</t>
        </is>
      </c>
      <c r="B28" s="20">
        <f>TEXT(B12,"0.0")</f>
        <v/>
      </c>
      <c r="C28" s="20" t="inlineStr">
        <is>
          <t xml:space="preserve">  ;; total activity factor</t>
        </is>
      </c>
    </row>
    <row r="29">
      <c r="A29" s="20" t="inlineStr">
        <is>
          <t xml:space="preserve"> :Z</t>
        </is>
      </c>
      <c r="B29" s="20">
        <f>TEXT(B13,"0.000")</f>
        <v/>
      </c>
      <c r="C29" s="20" t="inlineStr">
        <is>
          <t xml:space="preserve">  ;; fuselage dia / prop dia</t>
        </is>
      </c>
    </row>
    <row r="30">
      <c r="A30" s="20" t="inlineStr">
        <is>
          <t xml:space="preserve"> :tractor?</t>
        </is>
      </c>
      <c r="B30" s="20">
        <f>IF(B14=1,"true","false")</f>
        <v/>
      </c>
      <c r="C30" s="20" t="inlineStr"/>
    </row>
    <row r="31">
      <c r="A31" s="20" t="inlineStr">
        <is>
          <t xml:space="preserve"> :BB</t>
        </is>
      </c>
      <c r="B31" s="20">
        <f>TEXT(B15,"0")</f>
        <v/>
      </c>
      <c r="C31" s="20" t="inlineStr">
        <is>
          <t xml:space="preserve">  ;; number of blades</t>
        </is>
      </c>
    </row>
    <row r="32">
      <c r="A32" s="20" t="inlineStr">
        <is>
          <t xml:space="preserve"> :C</t>
        </is>
      </c>
      <c r="B32" s="20">
        <f>TEXT(B16,"0.00")</f>
        <v/>
      </c>
      <c r="C32" s="20" t="inlineStr">
        <is>
          <t>}  ;; altitude power dropoff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2026-02-10T19:35:22Z</dcterms:created>
  <dcterms:modified xsi:type="dcterms:W3CDTF">2026-02-10T19:35:22Z</dcterms:modified>
</cp:coreProperties>
</file>